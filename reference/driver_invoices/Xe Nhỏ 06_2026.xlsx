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driver_invoices/"/>
    </mc:Choice>
  </mc:AlternateContent>
  <xr:revisionPtr revIDLastSave="0" documentId="13_ncr:1_{DB440766-EA95-C14A-9291-050DD9032E5F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xe" sheetId="1" r:id="rId1"/>
    <sheet name="ma" sheetId="2" r:id="rId2"/>
    <sheet name="XE NHỎ" sheetId="3" r:id="rId3"/>
    <sheet name="XE LỚN" sheetId="4" r:id="rId4"/>
    <sheet name="TRUNG CHUYỂN" sheetId="5" r:id="rId5"/>
  </sheets>
  <definedNames>
    <definedName name="_xlnm._FilterDatabase" localSheetId="1" hidden="1">ma!$A$1:$C$96</definedName>
    <definedName name="_xlnm._FilterDatabase" localSheetId="4" hidden="1">'TRUNG CHUYỂN'!$A$5:$Q$100</definedName>
    <definedName name="_xlnm._FilterDatabase" localSheetId="3" hidden="1">'XE LỚN'!$A$5:$P$253</definedName>
    <definedName name="_xlnm._FilterDatabase" localSheetId="2" hidden="1">'XE NHỎ'!$B$7:$Q$780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2" i="5" l="1"/>
  <c r="N100" i="5"/>
  <c r="L100" i="5"/>
  <c r="K100" i="5"/>
  <c r="I100" i="5"/>
  <c r="J103" i="5" s="1"/>
  <c r="J105" i="5" s="1"/>
  <c r="J108" i="5" s="1"/>
  <c r="Q99" i="5"/>
  <c r="O99" i="5"/>
  <c r="P99" i="5" s="1"/>
  <c r="F99" i="5"/>
  <c r="E99" i="5"/>
  <c r="Q98" i="5"/>
  <c r="O98" i="5"/>
  <c r="P98" i="5" s="1"/>
  <c r="F98" i="5"/>
  <c r="E98" i="5"/>
  <c r="Q97" i="5"/>
  <c r="O97" i="5"/>
  <c r="P97" i="5" s="1"/>
  <c r="F97" i="5"/>
  <c r="E97" i="5"/>
  <c r="Q96" i="5"/>
  <c r="O96" i="5"/>
  <c r="P96" i="5" s="1"/>
  <c r="F96" i="5"/>
  <c r="E96" i="5"/>
  <c r="Q95" i="5"/>
  <c r="O95" i="5"/>
  <c r="P95" i="5" s="1"/>
  <c r="F95" i="5"/>
  <c r="E95" i="5"/>
  <c r="Q94" i="5"/>
  <c r="O94" i="5"/>
  <c r="P94" i="5" s="1"/>
  <c r="F94" i="5"/>
  <c r="E94" i="5"/>
  <c r="Q93" i="5"/>
  <c r="O93" i="5"/>
  <c r="P93" i="5" s="1"/>
  <c r="F93" i="5"/>
  <c r="E93" i="5"/>
  <c r="Q92" i="5"/>
  <c r="O92" i="5"/>
  <c r="P92" i="5" s="1"/>
  <c r="F92" i="5"/>
  <c r="E92" i="5"/>
  <c r="Q91" i="5"/>
  <c r="O91" i="5"/>
  <c r="P91" i="5" s="1"/>
  <c r="F91" i="5"/>
  <c r="E91" i="5"/>
  <c r="Q90" i="5"/>
  <c r="O90" i="5"/>
  <c r="P90" i="5" s="1"/>
  <c r="F90" i="5"/>
  <c r="E90" i="5"/>
  <c r="Q89" i="5"/>
  <c r="O89" i="5"/>
  <c r="P89" i="5" s="1"/>
  <c r="F89" i="5"/>
  <c r="E89" i="5"/>
  <c r="Q88" i="5"/>
  <c r="O88" i="5"/>
  <c r="P88" i="5" s="1"/>
  <c r="F88" i="5"/>
  <c r="E88" i="5"/>
  <c r="Q87" i="5"/>
  <c r="O87" i="5"/>
  <c r="P87" i="5" s="1"/>
  <c r="F87" i="5"/>
  <c r="E87" i="5"/>
  <c r="Q86" i="5"/>
  <c r="O86" i="5"/>
  <c r="P86" i="5" s="1"/>
  <c r="F86" i="5"/>
  <c r="E86" i="5"/>
  <c r="Q85" i="5"/>
  <c r="O85" i="5"/>
  <c r="P85" i="5" s="1"/>
  <c r="F85" i="5"/>
  <c r="E85" i="5"/>
  <c r="Q84" i="5"/>
  <c r="O84" i="5"/>
  <c r="P84" i="5" s="1"/>
  <c r="F84" i="5"/>
  <c r="E84" i="5"/>
  <c r="Q83" i="5"/>
  <c r="O83" i="5"/>
  <c r="P83" i="5" s="1"/>
  <c r="F83" i="5"/>
  <c r="E83" i="5"/>
  <c r="Q82" i="5"/>
  <c r="O82" i="5"/>
  <c r="P82" i="5" s="1"/>
  <c r="F82" i="5"/>
  <c r="E82" i="5"/>
  <c r="Q81" i="5"/>
  <c r="O81" i="5"/>
  <c r="P81" i="5" s="1"/>
  <c r="F81" i="5"/>
  <c r="E81" i="5"/>
  <c r="Q80" i="5"/>
  <c r="O80" i="5"/>
  <c r="P80" i="5" s="1"/>
  <c r="F80" i="5"/>
  <c r="E80" i="5"/>
  <c r="Q79" i="5"/>
  <c r="O79" i="5"/>
  <c r="P79" i="5" s="1"/>
  <c r="F79" i="5"/>
  <c r="E79" i="5"/>
  <c r="Q78" i="5"/>
  <c r="O78" i="5"/>
  <c r="P78" i="5" s="1"/>
  <c r="F78" i="5"/>
  <c r="E78" i="5"/>
  <c r="Q77" i="5"/>
  <c r="O77" i="5"/>
  <c r="P77" i="5" s="1"/>
  <c r="F77" i="5"/>
  <c r="E77" i="5"/>
  <c r="Q76" i="5"/>
  <c r="O76" i="5"/>
  <c r="P76" i="5" s="1"/>
  <c r="F76" i="5"/>
  <c r="E76" i="5"/>
  <c r="Q75" i="5"/>
  <c r="O75" i="5"/>
  <c r="P75" i="5" s="1"/>
  <c r="F75" i="5"/>
  <c r="E75" i="5"/>
  <c r="Q74" i="5"/>
  <c r="O74" i="5"/>
  <c r="P74" i="5" s="1"/>
  <c r="F74" i="5"/>
  <c r="E74" i="5"/>
  <c r="Q73" i="5"/>
  <c r="O73" i="5"/>
  <c r="P73" i="5" s="1"/>
  <c r="F73" i="5"/>
  <c r="E73" i="5"/>
  <c r="Q72" i="5"/>
  <c r="O72" i="5"/>
  <c r="P72" i="5" s="1"/>
  <c r="F72" i="5"/>
  <c r="E72" i="5"/>
  <c r="Q71" i="5"/>
  <c r="O71" i="5"/>
  <c r="P71" i="5" s="1"/>
  <c r="F71" i="5"/>
  <c r="E71" i="5"/>
  <c r="Q70" i="5"/>
  <c r="O70" i="5"/>
  <c r="P70" i="5" s="1"/>
  <c r="F70" i="5"/>
  <c r="E70" i="5"/>
  <c r="Q69" i="5"/>
  <c r="O69" i="5"/>
  <c r="P69" i="5" s="1"/>
  <c r="F69" i="5"/>
  <c r="E69" i="5"/>
  <c r="Q68" i="5"/>
  <c r="O68" i="5"/>
  <c r="P68" i="5" s="1"/>
  <c r="F68" i="5"/>
  <c r="E68" i="5"/>
  <c r="Q67" i="5"/>
  <c r="O67" i="5"/>
  <c r="P67" i="5" s="1"/>
  <c r="F67" i="5"/>
  <c r="E67" i="5"/>
  <c r="Q66" i="5"/>
  <c r="O66" i="5"/>
  <c r="P66" i="5" s="1"/>
  <c r="F66" i="5"/>
  <c r="E66" i="5"/>
  <c r="Q65" i="5"/>
  <c r="O65" i="5"/>
  <c r="P65" i="5" s="1"/>
  <c r="F65" i="5"/>
  <c r="E65" i="5"/>
  <c r="Q64" i="5"/>
  <c r="O64" i="5"/>
  <c r="P64" i="5" s="1"/>
  <c r="F64" i="5"/>
  <c r="E64" i="5"/>
  <c r="Q63" i="5"/>
  <c r="O63" i="5"/>
  <c r="P63" i="5" s="1"/>
  <c r="F63" i="5"/>
  <c r="E63" i="5"/>
  <c r="Q62" i="5"/>
  <c r="O62" i="5"/>
  <c r="P62" i="5" s="1"/>
  <c r="F62" i="5"/>
  <c r="E62" i="5"/>
  <c r="Q61" i="5"/>
  <c r="O61" i="5"/>
  <c r="P61" i="5" s="1"/>
  <c r="F61" i="5"/>
  <c r="E61" i="5"/>
  <c r="Q60" i="5"/>
  <c r="O60" i="5"/>
  <c r="P60" i="5" s="1"/>
  <c r="F60" i="5"/>
  <c r="E60" i="5"/>
  <c r="Q59" i="5"/>
  <c r="O59" i="5"/>
  <c r="P59" i="5" s="1"/>
  <c r="F59" i="5"/>
  <c r="E59" i="5"/>
  <c r="Q58" i="5"/>
  <c r="O58" i="5"/>
  <c r="P58" i="5" s="1"/>
  <c r="F58" i="5"/>
  <c r="E58" i="5"/>
  <c r="Q57" i="5"/>
  <c r="O57" i="5"/>
  <c r="P57" i="5" s="1"/>
  <c r="F57" i="5"/>
  <c r="E57" i="5"/>
  <c r="Q56" i="5"/>
  <c r="O56" i="5"/>
  <c r="P56" i="5" s="1"/>
  <c r="F56" i="5"/>
  <c r="E56" i="5"/>
  <c r="Q55" i="5"/>
  <c r="O55" i="5"/>
  <c r="P55" i="5" s="1"/>
  <c r="F55" i="5"/>
  <c r="E55" i="5"/>
  <c r="Q54" i="5"/>
  <c r="O54" i="5"/>
  <c r="P54" i="5" s="1"/>
  <c r="F54" i="5"/>
  <c r="E54" i="5"/>
  <c r="Q53" i="5"/>
  <c r="O53" i="5"/>
  <c r="P53" i="5" s="1"/>
  <c r="F53" i="5"/>
  <c r="E53" i="5"/>
  <c r="Q52" i="5"/>
  <c r="O52" i="5"/>
  <c r="P52" i="5" s="1"/>
  <c r="F52" i="5"/>
  <c r="E52" i="5"/>
  <c r="Q51" i="5"/>
  <c r="O51" i="5"/>
  <c r="P51" i="5" s="1"/>
  <c r="F51" i="5"/>
  <c r="E51" i="5"/>
  <c r="Q50" i="5"/>
  <c r="O50" i="5"/>
  <c r="P50" i="5" s="1"/>
  <c r="F50" i="5"/>
  <c r="E50" i="5"/>
  <c r="Q49" i="5"/>
  <c r="O49" i="5"/>
  <c r="P49" i="5" s="1"/>
  <c r="F49" i="5"/>
  <c r="E49" i="5"/>
  <c r="Q48" i="5"/>
  <c r="O48" i="5"/>
  <c r="P48" i="5" s="1"/>
  <c r="F48" i="5"/>
  <c r="E48" i="5"/>
  <c r="Q47" i="5"/>
  <c r="O47" i="5"/>
  <c r="P47" i="5" s="1"/>
  <c r="F47" i="5"/>
  <c r="E47" i="5"/>
  <c r="Q46" i="5"/>
  <c r="O46" i="5"/>
  <c r="P46" i="5" s="1"/>
  <c r="F46" i="5"/>
  <c r="E46" i="5"/>
  <c r="Q45" i="5"/>
  <c r="O45" i="5"/>
  <c r="P45" i="5" s="1"/>
  <c r="F45" i="5"/>
  <c r="E45" i="5"/>
  <c r="Q44" i="5"/>
  <c r="O44" i="5"/>
  <c r="P44" i="5" s="1"/>
  <c r="F44" i="5"/>
  <c r="E44" i="5"/>
  <c r="Q43" i="5"/>
  <c r="O43" i="5"/>
  <c r="P43" i="5" s="1"/>
  <c r="F43" i="5"/>
  <c r="E43" i="5"/>
  <c r="Q42" i="5"/>
  <c r="O42" i="5"/>
  <c r="P42" i="5" s="1"/>
  <c r="F42" i="5"/>
  <c r="E42" i="5"/>
  <c r="Q41" i="5"/>
  <c r="O41" i="5"/>
  <c r="P41" i="5" s="1"/>
  <c r="F41" i="5"/>
  <c r="E41" i="5"/>
  <c r="Q40" i="5"/>
  <c r="O40" i="5"/>
  <c r="P40" i="5" s="1"/>
  <c r="F40" i="5"/>
  <c r="E40" i="5"/>
  <c r="Q39" i="5"/>
  <c r="O39" i="5"/>
  <c r="P39" i="5" s="1"/>
  <c r="F39" i="5"/>
  <c r="E39" i="5"/>
  <c r="Q38" i="5"/>
  <c r="O38" i="5"/>
  <c r="P38" i="5" s="1"/>
  <c r="F38" i="5"/>
  <c r="E38" i="5"/>
  <c r="Q37" i="5"/>
  <c r="O37" i="5"/>
  <c r="P37" i="5" s="1"/>
  <c r="F37" i="5"/>
  <c r="E37" i="5"/>
  <c r="Q36" i="5"/>
  <c r="O36" i="5"/>
  <c r="P36" i="5" s="1"/>
  <c r="F36" i="5"/>
  <c r="E36" i="5"/>
  <c r="Q35" i="5"/>
  <c r="O35" i="5"/>
  <c r="P35" i="5" s="1"/>
  <c r="F35" i="5"/>
  <c r="E35" i="5"/>
  <c r="Q34" i="5"/>
  <c r="O34" i="5"/>
  <c r="P34" i="5" s="1"/>
  <c r="F34" i="5"/>
  <c r="E34" i="5"/>
  <c r="Q33" i="5"/>
  <c r="O33" i="5"/>
  <c r="P33" i="5" s="1"/>
  <c r="F33" i="5"/>
  <c r="E33" i="5"/>
  <c r="Q32" i="5"/>
  <c r="O32" i="5"/>
  <c r="P32" i="5" s="1"/>
  <c r="F32" i="5"/>
  <c r="E32" i="5"/>
  <c r="Q31" i="5"/>
  <c r="O31" i="5"/>
  <c r="P31" i="5" s="1"/>
  <c r="F31" i="5"/>
  <c r="E31" i="5"/>
  <c r="Q30" i="5"/>
  <c r="O30" i="5"/>
  <c r="P30" i="5" s="1"/>
  <c r="F30" i="5"/>
  <c r="E30" i="5"/>
  <c r="Q29" i="5"/>
  <c r="O29" i="5"/>
  <c r="P29" i="5" s="1"/>
  <c r="F29" i="5"/>
  <c r="E29" i="5"/>
  <c r="Q28" i="5"/>
  <c r="O28" i="5"/>
  <c r="P28" i="5" s="1"/>
  <c r="F28" i="5"/>
  <c r="E28" i="5"/>
  <c r="Q27" i="5"/>
  <c r="O27" i="5"/>
  <c r="P27" i="5" s="1"/>
  <c r="F27" i="5"/>
  <c r="E27" i="5"/>
  <c r="Q26" i="5"/>
  <c r="O26" i="5"/>
  <c r="P26" i="5" s="1"/>
  <c r="F26" i="5"/>
  <c r="E26" i="5"/>
  <c r="Q25" i="5"/>
  <c r="O25" i="5"/>
  <c r="P25" i="5" s="1"/>
  <c r="F25" i="5"/>
  <c r="E25" i="5"/>
  <c r="Q24" i="5"/>
  <c r="O24" i="5"/>
  <c r="P24" i="5" s="1"/>
  <c r="F24" i="5"/>
  <c r="E24" i="5"/>
  <c r="Q23" i="5"/>
  <c r="O23" i="5"/>
  <c r="P23" i="5" s="1"/>
  <c r="F23" i="5"/>
  <c r="E23" i="5"/>
  <c r="Q22" i="5"/>
  <c r="O22" i="5"/>
  <c r="P22" i="5" s="1"/>
  <c r="F22" i="5"/>
  <c r="E22" i="5"/>
  <c r="Q21" i="5"/>
  <c r="O21" i="5"/>
  <c r="P21" i="5" s="1"/>
  <c r="F21" i="5"/>
  <c r="E21" i="5"/>
  <c r="Q20" i="5"/>
  <c r="O20" i="5"/>
  <c r="P20" i="5" s="1"/>
  <c r="F20" i="5"/>
  <c r="E20" i="5"/>
  <c r="Q19" i="5"/>
  <c r="O19" i="5"/>
  <c r="P19" i="5" s="1"/>
  <c r="F19" i="5"/>
  <c r="E19" i="5"/>
  <c r="Q18" i="5"/>
  <c r="O18" i="5"/>
  <c r="P18" i="5" s="1"/>
  <c r="F18" i="5"/>
  <c r="E18" i="5"/>
  <c r="Q17" i="5"/>
  <c r="O17" i="5"/>
  <c r="P17" i="5" s="1"/>
  <c r="F17" i="5"/>
  <c r="E17" i="5"/>
  <c r="Q16" i="5"/>
  <c r="O16" i="5"/>
  <c r="P16" i="5" s="1"/>
  <c r="F16" i="5"/>
  <c r="E16" i="5"/>
  <c r="Q15" i="5"/>
  <c r="O15" i="5"/>
  <c r="P15" i="5" s="1"/>
  <c r="F15" i="5"/>
  <c r="E15" i="5"/>
  <c r="Q14" i="5"/>
  <c r="O14" i="5"/>
  <c r="P14" i="5" s="1"/>
  <c r="F14" i="5"/>
  <c r="E14" i="5"/>
  <c r="Q13" i="5"/>
  <c r="O13" i="5"/>
  <c r="P13" i="5" s="1"/>
  <c r="F13" i="5"/>
  <c r="E13" i="5"/>
  <c r="Q12" i="5"/>
  <c r="O12" i="5"/>
  <c r="P12" i="5" s="1"/>
  <c r="F12" i="5"/>
  <c r="E12" i="5"/>
  <c r="Q11" i="5"/>
  <c r="O11" i="5"/>
  <c r="P11" i="5" s="1"/>
  <c r="F11" i="5"/>
  <c r="E11" i="5"/>
  <c r="Q10" i="5"/>
  <c r="O10" i="5"/>
  <c r="P10" i="5" s="1"/>
  <c r="F10" i="5"/>
  <c r="E10" i="5"/>
  <c r="Q9" i="5"/>
  <c r="O9" i="5"/>
  <c r="P9" i="5" s="1"/>
  <c r="F9" i="5"/>
  <c r="E9" i="5"/>
  <c r="Q8" i="5"/>
  <c r="O8" i="5"/>
  <c r="P8" i="5" s="1"/>
  <c r="F8" i="5"/>
  <c r="E8" i="5"/>
  <c r="Q7" i="5"/>
  <c r="O7" i="5"/>
  <c r="P7" i="5" s="1"/>
  <c r="F7" i="5"/>
  <c r="E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Q6" i="5"/>
  <c r="Q100" i="5" s="1"/>
  <c r="O6" i="5"/>
  <c r="F6" i="5"/>
  <c r="E6" i="5"/>
  <c r="U266" i="4"/>
  <c r="M253" i="4"/>
  <c r="K253" i="4"/>
  <c r="I253" i="4"/>
  <c r="J259" i="4" s="1"/>
  <c r="N252" i="4"/>
  <c r="O252" i="4" s="1"/>
  <c r="P252" i="4" s="1"/>
  <c r="F252" i="4"/>
  <c r="E252" i="4"/>
  <c r="N251" i="4"/>
  <c r="O251" i="4" s="1"/>
  <c r="P251" i="4" s="1"/>
  <c r="F251" i="4"/>
  <c r="E251" i="4"/>
  <c r="N250" i="4"/>
  <c r="O250" i="4" s="1"/>
  <c r="P250" i="4" s="1"/>
  <c r="F250" i="4"/>
  <c r="E250" i="4"/>
  <c r="N249" i="4"/>
  <c r="O249" i="4" s="1"/>
  <c r="P249" i="4" s="1"/>
  <c r="F249" i="4"/>
  <c r="E249" i="4"/>
  <c r="N248" i="4"/>
  <c r="O248" i="4" s="1"/>
  <c r="P248" i="4" s="1"/>
  <c r="F248" i="4"/>
  <c r="E248" i="4"/>
  <c r="N247" i="4"/>
  <c r="O247" i="4" s="1"/>
  <c r="P247" i="4" s="1"/>
  <c r="F247" i="4"/>
  <c r="E247" i="4"/>
  <c r="N246" i="4"/>
  <c r="O246" i="4" s="1"/>
  <c r="P246" i="4" s="1"/>
  <c r="F246" i="4"/>
  <c r="E246" i="4"/>
  <c r="N245" i="4"/>
  <c r="O245" i="4" s="1"/>
  <c r="P245" i="4" s="1"/>
  <c r="F245" i="4"/>
  <c r="E245" i="4"/>
  <c r="N244" i="4"/>
  <c r="O244" i="4" s="1"/>
  <c r="P244" i="4" s="1"/>
  <c r="F244" i="4"/>
  <c r="E244" i="4"/>
  <c r="N243" i="4"/>
  <c r="O243" i="4" s="1"/>
  <c r="P243" i="4" s="1"/>
  <c r="F243" i="4"/>
  <c r="E243" i="4"/>
  <c r="N242" i="4"/>
  <c r="O242" i="4" s="1"/>
  <c r="P242" i="4" s="1"/>
  <c r="F242" i="4"/>
  <c r="E242" i="4"/>
  <c r="N241" i="4"/>
  <c r="O241" i="4" s="1"/>
  <c r="P241" i="4" s="1"/>
  <c r="F241" i="4"/>
  <c r="E241" i="4"/>
  <c r="N240" i="4"/>
  <c r="O240" i="4" s="1"/>
  <c r="P240" i="4" s="1"/>
  <c r="F240" i="4"/>
  <c r="E240" i="4"/>
  <c r="N239" i="4"/>
  <c r="O239" i="4" s="1"/>
  <c r="P239" i="4" s="1"/>
  <c r="F239" i="4"/>
  <c r="E239" i="4"/>
  <c r="N238" i="4"/>
  <c r="O238" i="4" s="1"/>
  <c r="P238" i="4" s="1"/>
  <c r="F238" i="4"/>
  <c r="E238" i="4"/>
  <c r="N237" i="4"/>
  <c r="O237" i="4" s="1"/>
  <c r="P237" i="4" s="1"/>
  <c r="F237" i="4"/>
  <c r="E237" i="4"/>
  <c r="N236" i="4"/>
  <c r="O236" i="4" s="1"/>
  <c r="P236" i="4" s="1"/>
  <c r="F236" i="4"/>
  <c r="E236" i="4"/>
  <c r="N235" i="4"/>
  <c r="O235" i="4" s="1"/>
  <c r="P235" i="4" s="1"/>
  <c r="F235" i="4"/>
  <c r="E235" i="4"/>
  <c r="N234" i="4"/>
  <c r="O234" i="4" s="1"/>
  <c r="P234" i="4" s="1"/>
  <c r="F234" i="4"/>
  <c r="E234" i="4"/>
  <c r="N233" i="4"/>
  <c r="O233" i="4" s="1"/>
  <c r="P233" i="4" s="1"/>
  <c r="F233" i="4"/>
  <c r="E233" i="4"/>
  <c r="N232" i="4"/>
  <c r="O232" i="4" s="1"/>
  <c r="P232" i="4" s="1"/>
  <c r="F232" i="4"/>
  <c r="E232" i="4"/>
  <c r="N231" i="4"/>
  <c r="O231" i="4" s="1"/>
  <c r="P231" i="4" s="1"/>
  <c r="F231" i="4"/>
  <c r="E231" i="4"/>
  <c r="N230" i="4"/>
  <c r="O230" i="4" s="1"/>
  <c r="P230" i="4" s="1"/>
  <c r="F230" i="4"/>
  <c r="E230" i="4"/>
  <c r="N229" i="4"/>
  <c r="O229" i="4" s="1"/>
  <c r="P229" i="4" s="1"/>
  <c r="F229" i="4"/>
  <c r="E229" i="4"/>
  <c r="N228" i="4"/>
  <c r="O228" i="4" s="1"/>
  <c r="P228" i="4" s="1"/>
  <c r="F228" i="4"/>
  <c r="E228" i="4"/>
  <c r="N227" i="4"/>
  <c r="O227" i="4" s="1"/>
  <c r="P227" i="4" s="1"/>
  <c r="F227" i="4"/>
  <c r="E227" i="4"/>
  <c r="N226" i="4"/>
  <c r="O226" i="4" s="1"/>
  <c r="P226" i="4" s="1"/>
  <c r="F226" i="4"/>
  <c r="E226" i="4"/>
  <c r="N225" i="4"/>
  <c r="O225" i="4" s="1"/>
  <c r="P225" i="4" s="1"/>
  <c r="F225" i="4"/>
  <c r="E225" i="4"/>
  <c r="N224" i="4"/>
  <c r="O224" i="4" s="1"/>
  <c r="P224" i="4" s="1"/>
  <c r="F224" i="4"/>
  <c r="E224" i="4"/>
  <c r="N223" i="4"/>
  <c r="O223" i="4" s="1"/>
  <c r="P223" i="4" s="1"/>
  <c r="F223" i="4"/>
  <c r="E223" i="4"/>
  <c r="N222" i="4"/>
  <c r="O222" i="4" s="1"/>
  <c r="P222" i="4" s="1"/>
  <c r="F222" i="4"/>
  <c r="E222" i="4"/>
  <c r="N221" i="4"/>
  <c r="O221" i="4" s="1"/>
  <c r="P221" i="4" s="1"/>
  <c r="F221" i="4"/>
  <c r="E221" i="4"/>
  <c r="N220" i="4"/>
  <c r="O220" i="4" s="1"/>
  <c r="P220" i="4" s="1"/>
  <c r="F220" i="4"/>
  <c r="E220" i="4"/>
  <c r="N219" i="4"/>
  <c r="O219" i="4" s="1"/>
  <c r="P219" i="4" s="1"/>
  <c r="F219" i="4"/>
  <c r="E219" i="4"/>
  <c r="N218" i="4"/>
  <c r="O218" i="4" s="1"/>
  <c r="P218" i="4" s="1"/>
  <c r="F218" i="4"/>
  <c r="E218" i="4"/>
  <c r="N217" i="4"/>
  <c r="O217" i="4" s="1"/>
  <c r="P217" i="4" s="1"/>
  <c r="F217" i="4"/>
  <c r="E217" i="4"/>
  <c r="N216" i="4"/>
  <c r="O216" i="4" s="1"/>
  <c r="P216" i="4" s="1"/>
  <c r="F216" i="4"/>
  <c r="E216" i="4"/>
  <c r="N215" i="4"/>
  <c r="O215" i="4" s="1"/>
  <c r="P215" i="4" s="1"/>
  <c r="F215" i="4"/>
  <c r="E215" i="4"/>
  <c r="N214" i="4"/>
  <c r="O214" i="4" s="1"/>
  <c r="P214" i="4" s="1"/>
  <c r="F214" i="4"/>
  <c r="E214" i="4"/>
  <c r="N213" i="4"/>
  <c r="O213" i="4" s="1"/>
  <c r="P213" i="4" s="1"/>
  <c r="F213" i="4"/>
  <c r="E213" i="4"/>
  <c r="N212" i="4"/>
  <c r="O212" i="4" s="1"/>
  <c r="P212" i="4" s="1"/>
  <c r="F212" i="4"/>
  <c r="E212" i="4"/>
  <c r="N211" i="4"/>
  <c r="O211" i="4" s="1"/>
  <c r="P211" i="4" s="1"/>
  <c r="F211" i="4"/>
  <c r="E211" i="4"/>
  <c r="N210" i="4"/>
  <c r="O210" i="4" s="1"/>
  <c r="P210" i="4" s="1"/>
  <c r="F210" i="4"/>
  <c r="E210" i="4"/>
  <c r="N209" i="4"/>
  <c r="O209" i="4" s="1"/>
  <c r="P209" i="4" s="1"/>
  <c r="F209" i="4"/>
  <c r="E209" i="4"/>
  <c r="N208" i="4"/>
  <c r="O208" i="4" s="1"/>
  <c r="P208" i="4" s="1"/>
  <c r="F208" i="4"/>
  <c r="E208" i="4"/>
  <c r="N207" i="4"/>
  <c r="O207" i="4" s="1"/>
  <c r="P207" i="4" s="1"/>
  <c r="F207" i="4"/>
  <c r="E207" i="4"/>
  <c r="N206" i="4"/>
  <c r="O206" i="4" s="1"/>
  <c r="P206" i="4" s="1"/>
  <c r="F206" i="4"/>
  <c r="E206" i="4"/>
  <c r="N205" i="4"/>
  <c r="O205" i="4" s="1"/>
  <c r="P205" i="4" s="1"/>
  <c r="F205" i="4"/>
  <c r="E205" i="4"/>
  <c r="N204" i="4"/>
  <c r="O204" i="4" s="1"/>
  <c r="P204" i="4" s="1"/>
  <c r="F204" i="4"/>
  <c r="E204" i="4"/>
  <c r="N203" i="4"/>
  <c r="O203" i="4" s="1"/>
  <c r="P203" i="4" s="1"/>
  <c r="F203" i="4"/>
  <c r="E203" i="4"/>
  <c r="N202" i="4"/>
  <c r="O202" i="4" s="1"/>
  <c r="P202" i="4" s="1"/>
  <c r="F202" i="4"/>
  <c r="E202" i="4"/>
  <c r="N201" i="4"/>
  <c r="O201" i="4" s="1"/>
  <c r="P201" i="4" s="1"/>
  <c r="F201" i="4"/>
  <c r="E201" i="4"/>
  <c r="N200" i="4"/>
  <c r="O200" i="4" s="1"/>
  <c r="P200" i="4" s="1"/>
  <c r="F200" i="4"/>
  <c r="E200" i="4"/>
  <c r="N199" i="4"/>
  <c r="O199" i="4" s="1"/>
  <c r="P199" i="4" s="1"/>
  <c r="F199" i="4"/>
  <c r="E199" i="4"/>
  <c r="N198" i="4"/>
  <c r="O198" i="4" s="1"/>
  <c r="P198" i="4" s="1"/>
  <c r="F198" i="4"/>
  <c r="E198" i="4"/>
  <c r="N197" i="4"/>
  <c r="O197" i="4" s="1"/>
  <c r="P197" i="4" s="1"/>
  <c r="F197" i="4"/>
  <c r="E197" i="4"/>
  <c r="N196" i="4"/>
  <c r="O196" i="4" s="1"/>
  <c r="P196" i="4" s="1"/>
  <c r="F196" i="4"/>
  <c r="E196" i="4"/>
  <c r="N195" i="4"/>
  <c r="O195" i="4" s="1"/>
  <c r="P195" i="4" s="1"/>
  <c r="F195" i="4"/>
  <c r="E195" i="4"/>
  <c r="N194" i="4"/>
  <c r="O194" i="4" s="1"/>
  <c r="P194" i="4" s="1"/>
  <c r="F194" i="4"/>
  <c r="E194" i="4"/>
  <c r="N193" i="4"/>
  <c r="O193" i="4" s="1"/>
  <c r="P193" i="4" s="1"/>
  <c r="F193" i="4"/>
  <c r="E193" i="4"/>
  <c r="N192" i="4"/>
  <c r="O192" i="4" s="1"/>
  <c r="P192" i="4" s="1"/>
  <c r="F192" i="4"/>
  <c r="E192" i="4"/>
  <c r="N191" i="4"/>
  <c r="O191" i="4" s="1"/>
  <c r="P191" i="4" s="1"/>
  <c r="F191" i="4"/>
  <c r="E191" i="4"/>
  <c r="N190" i="4"/>
  <c r="O190" i="4" s="1"/>
  <c r="P190" i="4" s="1"/>
  <c r="F190" i="4"/>
  <c r="E190" i="4"/>
  <c r="N189" i="4"/>
  <c r="O189" i="4" s="1"/>
  <c r="P189" i="4" s="1"/>
  <c r="F189" i="4"/>
  <c r="E189" i="4"/>
  <c r="N188" i="4"/>
  <c r="O188" i="4" s="1"/>
  <c r="P188" i="4" s="1"/>
  <c r="F188" i="4"/>
  <c r="E188" i="4"/>
  <c r="N187" i="4"/>
  <c r="O187" i="4" s="1"/>
  <c r="P187" i="4" s="1"/>
  <c r="F187" i="4"/>
  <c r="E187" i="4"/>
  <c r="N186" i="4"/>
  <c r="O186" i="4" s="1"/>
  <c r="P186" i="4" s="1"/>
  <c r="F186" i="4"/>
  <c r="E186" i="4"/>
  <c r="N185" i="4"/>
  <c r="O185" i="4" s="1"/>
  <c r="P185" i="4" s="1"/>
  <c r="F185" i="4"/>
  <c r="E185" i="4"/>
  <c r="N184" i="4"/>
  <c r="O184" i="4" s="1"/>
  <c r="P184" i="4" s="1"/>
  <c r="F184" i="4"/>
  <c r="E184" i="4"/>
  <c r="N183" i="4"/>
  <c r="O183" i="4" s="1"/>
  <c r="P183" i="4" s="1"/>
  <c r="F183" i="4"/>
  <c r="E183" i="4"/>
  <c r="N182" i="4"/>
  <c r="O182" i="4" s="1"/>
  <c r="P182" i="4" s="1"/>
  <c r="F182" i="4"/>
  <c r="E182" i="4"/>
  <c r="N181" i="4"/>
  <c r="O181" i="4" s="1"/>
  <c r="P181" i="4" s="1"/>
  <c r="F181" i="4"/>
  <c r="E181" i="4"/>
  <c r="N180" i="4"/>
  <c r="O180" i="4" s="1"/>
  <c r="P180" i="4" s="1"/>
  <c r="F180" i="4"/>
  <c r="E180" i="4"/>
  <c r="N179" i="4"/>
  <c r="O179" i="4" s="1"/>
  <c r="P179" i="4" s="1"/>
  <c r="F179" i="4"/>
  <c r="E179" i="4"/>
  <c r="N178" i="4"/>
  <c r="O178" i="4" s="1"/>
  <c r="P178" i="4" s="1"/>
  <c r="F178" i="4"/>
  <c r="E178" i="4"/>
  <c r="N177" i="4"/>
  <c r="O177" i="4" s="1"/>
  <c r="P177" i="4" s="1"/>
  <c r="F177" i="4"/>
  <c r="E177" i="4"/>
  <c r="N176" i="4"/>
  <c r="O176" i="4" s="1"/>
  <c r="P176" i="4" s="1"/>
  <c r="F176" i="4"/>
  <c r="E176" i="4"/>
  <c r="N175" i="4"/>
  <c r="O175" i="4" s="1"/>
  <c r="P175" i="4" s="1"/>
  <c r="F175" i="4"/>
  <c r="E175" i="4"/>
  <c r="N174" i="4"/>
  <c r="O174" i="4" s="1"/>
  <c r="P174" i="4" s="1"/>
  <c r="F174" i="4"/>
  <c r="E174" i="4"/>
  <c r="N173" i="4"/>
  <c r="O173" i="4" s="1"/>
  <c r="P173" i="4" s="1"/>
  <c r="F173" i="4"/>
  <c r="E173" i="4"/>
  <c r="N172" i="4"/>
  <c r="O172" i="4" s="1"/>
  <c r="P172" i="4" s="1"/>
  <c r="F172" i="4"/>
  <c r="E172" i="4"/>
  <c r="N171" i="4"/>
  <c r="O171" i="4" s="1"/>
  <c r="P171" i="4" s="1"/>
  <c r="F171" i="4"/>
  <c r="E171" i="4"/>
  <c r="N170" i="4"/>
  <c r="O170" i="4" s="1"/>
  <c r="P170" i="4" s="1"/>
  <c r="F170" i="4"/>
  <c r="E170" i="4"/>
  <c r="N169" i="4"/>
  <c r="O169" i="4" s="1"/>
  <c r="P169" i="4" s="1"/>
  <c r="F169" i="4"/>
  <c r="E169" i="4"/>
  <c r="N168" i="4"/>
  <c r="O168" i="4" s="1"/>
  <c r="P168" i="4" s="1"/>
  <c r="F168" i="4"/>
  <c r="E168" i="4"/>
  <c r="N167" i="4"/>
  <c r="O167" i="4" s="1"/>
  <c r="P167" i="4" s="1"/>
  <c r="F167" i="4"/>
  <c r="E167" i="4"/>
  <c r="N166" i="4"/>
  <c r="O166" i="4" s="1"/>
  <c r="P166" i="4" s="1"/>
  <c r="F166" i="4"/>
  <c r="E166" i="4"/>
  <c r="N165" i="4"/>
  <c r="O165" i="4" s="1"/>
  <c r="P165" i="4" s="1"/>
  <c r="F165" i="4"/>
  <c r="E165" i="4"/>
  <c r="N164" i="4"/>
  <c r="O164" i="4" s="1"/>
  <c r="P164" i="4" s="1"/>
  <c r="F164" i="4"/>
  <c r="E164" i="4"/>
  <c r="N163" i="4"/>
  <c r="O163" i="4" s="1"/>
  <c r="P163" i="4" s="1"/>
  <c r="F163" i="4"/>
  <c r="E163" i="4"/>
  <c r="N162" i="4"/>
  <c r="O162" i="4" s="1"/>
  <c r="P162" i="4" s="1"/>
  <c r="F162" i="4"/>
  <c r="E162" i="4"/>
  <c r="N161" i="4"/>
  <c r="O161" i="4" s="1"/>
  <c r="P161" i="4" s="1"/>
  <c r="F161" i="4"/>
  <c r="E161" i="4"/>
  <c r="N160" i="4"/>
  <c r="O160" i="4" s="1"/>
  <c r="P160" i="4" s="1"/>
  <c r="F160" i="4"/>
  <c r="E160" i="4"/>
  <c r="N159" i="4"/>
  <c r="O159" i="4" s="1"/>
  <c r="P159" i="4" s="1"/>
  <c r="F159" i="4"/>
  <c r="E159" i="4"/>
  <c r="N158" i="4"/>
  <c r="O158" i="4" s="1"/>
  <c r="F158" i="4"/>
  <c r="E158" i="4"/>
  <c r="N157" i="4"/>
  <c r="O157" i="4" s="1"/>
  <c r="P157" i="4" s="1"/>
  <c r="F157" i="4"/>
  <c r="E157" i="4"/>
  <c r="N156" i="4"/>
  <c r="O156" i="4" s="1"/>
  <c r="P156" i="4" s="1"/>
  <c r="F156" i="4"/>
  <c r="E156" i="4"/>
  <c r="N155" i="4"/>
  <c r="O155" i="4" s="1"/>
  <c r="P155" i="4" s="1"/>
  <c r="F155" i="4"/>
  <c r="E155" i="4"/>
  <c r="N154" i="4"/>
  <c r="O154" i="4" s="1"/>
  <c r="P154" i="4" s="1"/>
  <c r="F154" i="4"/>
  <c r="E154" i="4"/>
  <c r="N153" i="4"/>
  <c r="O153" i="4" s="1"/>
  <c r="P153" i="4" s="1"/>
  <c r="F153" i="4"/>
  <c r="E153" i="4"/>
  <c r="N152" i="4"/>
  <c r="O152" i="4" s="1"/>
  <c r="P152" i="4" s="1"/>
  <c r="F152" i="4"/>
  <c r="E152" i="4"/>
  <c r="N151" i="4"/>
  <c r="O151" i="4" s="1"/>
  <c r="P151" i="4" s="1"/>
  <c r="F151" i="4"/>
  <c r="E151" i="4"/>
  <c r="N150" i="4"/>
  <c r="O150" i="4" s="1"/>
  <c r="P150" i="4" s="1"/>
  <c r="F150" i="4"/>
  <c r="E150" i="4"/>
  <c r="N149" i="4"/>
  <c r="O149" i="4" s="1"/>
  <c r="P149" i="4" s="1"/>
  <c r="F149" i="4"/>
  <c r="E149" i="4"/>
  <c r="N148" i="4"/>
  <c r="O148" i="4" s="1"/>
  <c r="P148" i="4" s="1"/>
  <c r="F148" i="4"/>
  <c r="E148" i="4"/>
  <c r="N147" i="4"/>
  <c r="O147" i="4" s="1"/>
  <c r="P147" i="4" s="1"/>
  <c r="F147" i="4"/>
  <c r="E147" i="4"/>
  <c r="N146" i="4"/>
  <c r="O146" i="4" s="1"/>
  <c r="P146" i="4" s="1"/>
  <c r="F146" i="4"/>
  <c r="E146" i="4"/>
  <c r="N145" i="4"/>
  <c r="O145" i="4" s="1"/>
  <c r="P145" i="4" s="1"/>
  <c r="F145" i="4"/>
  <c r="E145" i="4"/>
  <c r="N144" i="4"/>
  <c r="O144" i="4" s="1"/>
  <c r="P144" i="4" s="1"/>
  <c r="F144" i="4"/>
  <c r="E144" i="4"/>
  <c r="N143" i="4"/>
  <c r="O143" i="4" s="1"/>
  <c r="P143" i="4" s="1"/>
  <c r="F143" i="4"/>
  <c r="E143" i="4"/>
  <c r="N142" i="4"/>
  <c r="O142" i="4" s="1"/>
  <c r="P142" i="4" s="1"/>
  <c r="F142" i="4"/>
  <c r="E142" i="4"/>
  <c r="N141" i="4"/>
  <c r="O141" i="4" s="1"/>
  <c r="P141" i="4" s="1"/>
  <c r="F141" i="4"/>
  <c r="E141" i="4"/>
  <c r="N140" i="4"/>
  <c r="O140" i="4" s="1"/>
  <c r="P140" i="4" s="1"/>
  <c r="F140" i="4"/>
  <c r="E140" i="4"/>
  <c r="N139" i="4"/>
  <c r="O139" i="4" s="1"/>
  <c r="P139" i="4" s="1"/>
  <c r="F139" i="4"/>
  <c r="E139" i="4"/>
  <c r="N138" i="4"/>
  <c r="O138" i="4" s="1"/>
  <c r="P138" i="4" s="1"/>
  <c r="F138" i="4"/>
  <c r="E138" i="4"/>
  <c r="N137" i="4"/>
  <c r="O137" i="4" s="1"/>
  <c r="P137" i="4" s="1"/>
  <c r="F137" i="4"/>
  <c r="E137" i="4"/>
  <c r="N136" i="4"/>
  <c r="O136" i="4" s="1"/>
  <c r="P136" i="4" s="1"/>
  <c r="F136" i="4"/>
  <c r="E136" i="4"/>
  <c r="N135" i="4"/>
  <c r="O135" i="4" s="1"/>
  <c r="P135" i="4" s="1"/>
  <c r="F135" i="4"/>
  <c r="E135" i="4"/>
  <c r="N134" i="4"/>
  <c r="O134" i="4" s="1"/>
  <c r="P134" i="4" s="1"/>
  <c r="F134" i="4"/>
  <c r="E134" i="4"/>
  <c r="N133" i="4"/>
  <c r="O133" i="4" s="1"/>
  <c r="P133" i="4" s="1"/>
  <c r="F133" i="4"/>
  <c r="E133" i="4"/>
  <c r="N132" i="4"/>
  <c r="O132" i="4" s="1"/>
  <c r="P132" i="4" s="1"/>
  <c r="F132" i="4"/>
  <c r="E132" i="4"/>
  <c r="N131" i="4"/>
  <c r="O131" i="4" s="1"/>
  <c r="P131" i="4" s="1"/>
  <c r="F131" i="4"/>
  <c r="E131" i="4"/>
  <c r="N130" i="4"/>
  <c r="O130" i="4" s="1"/>
  <c r="P130" i="4" s="1"/>
  <c r="F130" i="4"/>
  <c r="E130" i="4"/>
  <c r="N129" i="4"/>
  <c r="O129" i="4" s="1"/>
  <c r="P129" i="4" s="1"/>
  <c r="F129" i="4"/>
  <c r="E129" i="4"/>
  <c r="N128" i="4"/>
  <c r="O128" i="4" s="1"/>
  <c r="P128" i="4" s="1"/>
  <c r="F128" i="4"/>
  <c r="E128" i="4"/>
  <c r="N127" i="4"/>
  <c r="O127" i="4" s="1"/>
  <c r="P127" i="4" s="1"/>
  <c r="F127" i="4"/>
  <c r="E127" i="4"/>
  <c r="N126" i="4"/>
  <c r="O126" i="4" s="1"/>
  <c r="P126" i="4" s="1"/>
  <c r="F126" i="4"/>
  <c r="E126" i="4"/>
  <c r="N125" i="4"/>
  <c r="O125" i="4" s="1"/>
  <c r="P125" i="4" s="1"/>
  <c r="F125" i="4"/>
  <c r="E125" i="4"/>
  <c r="N124" i="4"/>
  <c r="O124" i="4" s="1"/>
  <c r="P124" i="4" s="1"/>
  <c r="F124" i="4"/>
  <c r="E124" i="4"/>
  <c r="N123" i="4"/>
  <c r="O123" i="4" s="1"/>
  <c r="P123" i="4" s="1"/>
  <c r="F123" i="4"/>
  <c r="E123" i="4"/>
  <c r="N122" i="4"/>
  <c r="O122" i="4" s="1"/>
  <c r="P122" i="4" s="1"/>
  <c r="F122" i="4"/>
  <c r="E122" i="4"/>
  <c r="N121" i="4"/>
  <c r="O121" i="4" s="1"/>
  <c r="P121" i="4" s="1"/>
  <c r="F121" i="4"/>
  <c r="E121" i="4"/>
  <c r="N120" i="4"/>
  <c r="O120" i="4" s="1"/>
  <c r="P120" i="4" s="1"/>
  <c r="F120" i="4"/>
  <c r="E120" i="4"/>
  <c r="N119" i="4"/>
  <c r="O119" i="4" s="1"/>
  <c r="P119" i="4" s="1"/>
  <c r="F119" i="4"/>
  <c r="E119" i="4"/>
  <c r="N118" i="4"/>
  <c r="O118" i="4" s="1"/>
  <c r="P118" i="4" s="1"/>
  <c r="F118" i="4"/>
  <c r="E118" i="4"/>
  <c r="N117" i="4"/>
  <c r="O117" i="4" s="1"/>
  <c r="P117" i="4" s="1"/>
  <c r="F117" i="4"/>
  <c r="E117" i="4"/>
  <c r="N116" i="4"/>
  <c r="O116" i="4" s="1"/>
  <c r="P116" i="4" s="1"/>
  <c r="F116" i="4"/>
  <c r="E116" i="4"/>
  <c r="N115" i="4"/>
  <c r="O115" i="4" s="1"/>
  <c r="P115" i="4" s="1"/>
  <c r="F115" i="4"/>
  <c r="E115" i="4"/>
  <c r="N114" i="4"/>
  <c r="O114" i="4" s="1"/>
  <c r="P114" i="4" s="1"/>
  <c r="F114" i="4"/>
  <c r="E114" i="4"/>
  <c r="N113" i="4"/>
  <c r="O113" i="4" s="1"/>
  <c r="P113" i="4" s="1"/>
  <c r="F113" i="4"/>
  <c r="E113" i="4"/>
  <c r="N112" i="4"/>
  <c r="O112" i="4" s="1"/>
  <c r="P112" i="4" s="1"/>
  <c r="F112" i="4"/>
  <c r="E112" i="4"/>
  <c r="N111" i="4"/>
  <c r="O111" i="4" s="1"/>
  <c r="P111" i="4" s="1"/>
  <c r="F111" i="4"/>
  <c r="E111" i="4"/>
  <c r="N110" i="4"/>
  <c r="O110" i="4" s="1"/>
  <c r="P110" i="4" s="1"/>
  <c r="F110" i="4"/>
  <c r="E110" i="4"/>
  <c r="N109" i="4"/>
  <c r="O109" i="4" s="1"/>
  <c r="P109" i="4" s="1"/>
  <c r="F109" i="4"/>
  <c r="E109" i="4"/>
  <c r="N108" i="4"/>
  <c r="O108" i="4" s="1"/>
  <c r="F108" i="4"/>
  <c r="E108" i="4"/>
  <c r="N107" i="4"/>
  <c r="O107" i="4" s="1"/>
  <c r="P107" i="4" s="1"/>
  <c r="F107" i="4"/>
  <c r="E107" i="4"/>
  <c r="N106" i="4"/>
  <c r="O106" i="4" s="1"/>
  <c r="P106" i="4" s="1"/>
  <c r="F106" i="4"/>
  <c r="E106" i="4"/>
  <c r="N105" i="4"/>
  <c r="O105" i="4" s="1"/>
  <c r="F105" i="4"/>
  <c r="E105" i="4"/>
  <c r="N104" i="4"/>
  <c r="O104" i="4" s="1"/>
  <c r="P104" i="4" s="1"/>
  <c r="F104" i="4"/>
  <c r="E104" i="4"/>
  <c r="N103" i="4"/>
  <c r="O103" i="4" s="1"/>
  <c r="P103" i="4" s="1"/>
  <c r="F103" i="4"/>
  <c r="E103" i="4"/>
  <c r="N102" i="4"/>
  <c r="O102" i="4" s="1"/>
  <c r="P102" i="4" s="1"/>
  <c r="F102" i="4"/>
  <c r="E102" i="4"/>
  <c r="N101" i="4"/>
  <c r="O101" i="4" s="1"/>
  <c r="P101" i="4" s="1"/>
  <c r="F101" i="4"/>
  <c r="E101" i="4"/>
  <c r="N100" i="4"/>
  <c r="O100" i="4" s="1"/>
  <c r="P100" i="4" s="1"/>
  <c r="F100" i="4"/>
  <c r="E100" i="4"/>
  <c r="N99" i="4"/>
  <c r="O99" i="4" s="1"/>
  <c r="P99" i="4" s="1"/>
  <c r="F99" i="4"/>
  <c r="E99" i="4"/>
  <c r="N98" i="4"/>
  <c r="O98" i="4" s="1"/>
  <c r="P98" i="4" s="1"/>
  <c r="F98" i="4"/>
  <c r="E98" i="4"/>
  <c r="N97" i="4"/>
  <c r="O97" i="4" s="1"/>
  <c r="P97" i="4" s="1"/>
  <c r="F97" i="4"/>
  <c r="E97" i="4"/>
  <c r="N96" i="4"/>
  <c r="O96" i="4" s="1"/>
  <c r="P96" i="4" s="1"/>
  <c r="F96" i="4"/>
  <c r="E96" i="4"/>
  <c r="N95" i="4"/>
  <c r="O95" i="4" s="1"/>
  <c r="P95" i="4" s="1"/>
  <c r="F95" i="4"/>
  <c r="E95" i="4"/>
  <c r="N94" i="4"/>
  <c r="O94" i="4" s="1"/>
  <c r="P94" i="4" s="1"/>
  <c r="F94" i="4"/>
  <c r="E94" i="4"/>
  <c r="N93" i="4"/>
  <c r="O93" i="4" s="1"/>
  <c r="P93" i="4" s="1"/>
  <c r="F93" i="4"/>
  <c r="E93" i="4"/>
  <c r="N92" i="4"/>
  <c r="O92" i="4" s="1"/>
  <c r="P92" i="4" s="1"/>
  <c r="F92" i="4"/>
  <c r="E92" i="4"/>
  <c r="N91" i="4"/>
  <c r="O91" i="4" s="1"/>
  <c r="P91" i="4" s="1"/>
  <c r="F91" i="4"/>
  <c r="E91" i="4"/>
  <c r="N90" i="4"/>
  <c r="O90" i="4" s="1"/>
  <c r="P90" i="4" s="1"/>
  <c r="F90" i="4"/>
  <c r="E90" i="4"/>
  <c r="N89" i="4"/>
  <c r="O89" i="4" s="1"/>
  <c r="P89" i="4" s="1"/>
  <c r="F89" i="4"/>
  <c r="E89" i="4"/>
  <c r="N88" i="4"/>
  <c r="O88" i="4" s="1"/>
  <c r="P88" i="4" s="1"/>
  <c r="F88" i="4"/>
  <c r="E88" i="4"/>
  <c r="N87" i="4"/>
  <c r="O87" i="4" s="1"/>
  <c r="P87" i="4" s="1"/>
  <c r="F87" i="4"/>
  <c r="E87" i="4"/>
  <c r="N86" i="4"/>
  <c r="O86" i="4" s="1"/>
  <c r="P86" i="4" s="1"/>
  <c r="F86" i="4"/>
  <c r="E86" i="4"/>
  <c r="N85" i="4"/>
  <c r="O85" i="4" s="1"/>
  <c r="P85" i="4" s="1"/>
  <c r="F85" i="4"/>
  <c r="E85" i="4"/>
  <c r="N84" i="4"/>
  <c r="O84" i="4" s="1"/>
  <c r="P84" i="4" s="1"/>
  <c r="F84" i="4"/>
  <c r="E84" i="4"/>
  <c r="N83" i="4"/>
  <c r="O83" i="4" s="1"/>
  <c r="P83" i="4" s="1"/>
  <c r="F83" i="4"/>
  <c r="E83" i="4"/>
  <c r="N82" i="4"/>
  <c r="O82" i="4" s="1"/>
  <c r="P82" i="4" s="1"/>
  <c r="F82" i="4"/>
  <c r="E82" i="4"/>
  <c r="N81" i="4"/>
  <c r="O81" i="4" s="1"/>
  <c r="P81" i="4" s="1"/>
  <c r="F81" i="4"/>
  <c r="E81" i="4"/>
  <c r="N80" i="4"/>
  <c r="O80" i="4" s="1"/>
  <c r="P80" i="4" s="1"/>
  <c r="F80" i="4"/>
  <c r="E80" i="4"/>
  <c r="N79" i="4"/>
  <c r="O79" i="4" s="1"/>
  <c r="P79" i="4" s="1"/>
  <c r="F79" i="4"/>
  <c r="E79" i="4"/>
  <c r="N78" i="4"/>
  <c r="O78" i="4" s="1"/>
  <c r="P78" i="4" s="1"/>
  <c r="F78" i="4"/>
  <c r="E78" i="4"/>
  <c r="N77" i="4"/>
  <c r="O77" i="4" s="1"/>
  <c r="P77" i="4" s="1"/>
  <c r="F77" i="4"/>
  <c r="E77" i="4"/>
  <c r="N76" i="4"/>
  <c r="O76" i="4" s="1"/>
  <c r="P76" i="4" s="1"/>
  <c r="F76" i="4"/>
  <c r="E76" i="4"/>
  <c r="N75" i="4"/>
  <c r="O75" i="4" s="1"/>
  <c r="P75" i="4" s="1"/>
  <c r="F75" i="4"/>
  <c r="E75" i="4"/>
  <c r="N74" i="4"/>
  <c r="O74" i="4" s="1"/>
  <c r="P74" i="4" s="1"/>
  <c r="F74" i="4"/>
  <c r="E74" i="4"/>
  <c r="N73" i="4"/>
  <c r="O73" i="4" s="1"/>
  <c r="P73" i="4" s="1"/>
  <c r="F73" i="4"/>
  <c r="E73" i="4"/>
  <c r="N72" i="4"/>
  <c r="O72" i="4" s="1"/>
  <c r="P72" i="4" s="1"/>
  <c r="F72" i="4"/>
  <c r="E72" i="4"/>
  <c r="N71" i="4"/>
  <c r="O71" i="4" s="1"/>
  <c r="P71" i="4" s="1"/>
  <c r="F71" i="4"/>
  <c r="E71" i="4"/>
  <c r="N70" i="4"/>
  <c r="O70" i="4" s="1"/>
  <c r="F70" i="4"/>
  <c r="E70" i="4"/>
  <c r="N69" i="4"/>
  <c r="O69" i="4" s="1"/>
  <c r="P69" i="4" s="1"/>
  <c r="F69" i="4"/>
  <c r="E69" i="4"/>
  <c r="N68" i="4"/>
  <c r="O68" i="4" s="1"/>
  <c r="P68" i="4" s="1"/>
  <c r="F68" i="4"/>
  <c r="E68" i="4"/>
  <c r="N67" i="4"/>
  <c r="O67" i="4" s="1"/>
  <c r="P67" i="4" s="1"/>
  <c r="F67" i="4"/>
  <c r="E67" i="4"/>
  <c r="N66" i="4"/>
  <c r="O66" i="4" s="1"/>
  <c r="F66" i="4"/>
  <c r="E66" i="4"/>
  <c r="N65" i="4"/>
  <c r="O65" i="4" s="1"/>
  <c r="P65" i="4" s="1"/>
  <c r="F65" i="4"/>
  <c r="E65" i="4"/>
  <c r="N64" i="4"/>
  <c r="O64" i="4" s="1"/>
  <c r="P64" i="4" s="1"/>
  <c r="F64" i="4"/>
  <c r="E64" i="4"/>
  <c r="N63" i="4"/>
  <c r="O63" i="4" s="1"/>
  <c r="P63" i="4" s="1"/>
  <c r="F63" i="4"/>
  <c r="E63" i="4"/>
  <c r="N62" i="4"/>
  <c r="O62" i="4" s="1"/>
  <c r="P62" i="4" s="1"/>
  <c r="F62" i="4"/>
  <c r="E62" i="4"/>
  <c r="N61" i="4"/>
  <c r="O61" i="4" s="1"/>
  <c r="P61" i="4" s="1"/>
  <c r="F61" i="4"/>
  <c r="E61" i="4"/>
  <c r="N60" i="4"/>
  <c r="O60" i="4" s="1"/>
  <c r="P60" i="4" s="1"/>
  <c r="F60" i="4"/>
  <c r="E60" i="4"/>
  <c r="N59" i="4"/>
  <c r="O59" i="4" s="1"/>
  <c r="P59" i="4" s="1"/>
  <c r="F59" i="4"/>
  <c r="E59" i="4"/>
  <c r="N58" i="4"/>
  <c r="O58" i="4" s="1"/>
  <c r="P58" i="4" s="1"/>
  <c r="F58" i="4"/>
  <c r="E58" i="4"/>
  <c r="N57" i="4"/>
  <c r="O57" i="4" s="1"/>
  <c r="P57" i="4" s="1"/>
  <c r="F57" i="4"/>
  <c r="E57" i="4"/>
  <c r="N56" i="4"/>
  <c r="O56" i="4" s="1"/>
  <c r="P56" i="4" s="1"/>
  <c r="F56" i="4"/>
  <c r="E56" i="4"/>
  <c r="N55" i="4"/>
  <c r="O55" i="4" s="1"/>
  <c r="P55" i="4" s="1"/>
  <c r="F55" i="4"/>
  <c r="E55" i="4"/>
  <c r="N54" i="4"/>
  <c r="O54" i="4" s="1"/>
  <c r="P54" i="4" s="1"/>
  <c r="F54" i="4"/>
  <c r="E54" i="4"/>
  <c r="N53" i="4"/>
  <c r="O53" i="4" s="1"/>
  <c r="P53" i="4" s="1"/>
  <c r="F53" i="4"/>
  <c r="E53" i="4"/>
  <c r="N52" i="4"/>
  <c r="O52" i="4" s="1"/>
  <c r="P52" i="4" s="1"/>
  <c r="F52" i="4"/>
  <c r="E52" i="4"/>
  <c r="N51" i="4"/>
  <c r="O51" i="4" s="1"/>
  <c r="P51" i="4" s="1"/>
  <c r="F51" i="4"/>
  <c r="E51" i="4"/>
  <c r="N50" i="4"/>
  <c r="O50" i="4" s="1"/>
  <c r="F50" i="4"/>
  <c r="E50" i="4"/>
  <c r="N49" i="4"/>
  <c r="O49" i="4" s="1"/>
  <c r="F49" i="4"/>
  <c r="E49" i="4"/>
  <c r="N48" i="4"/>
  <c r="O48" i="4" s="1"/>
  <c r="P48" i="4" s="1"/>
  <c r="F48" i="4"/>
  <c r="E48" i="4"/>
  <c r="N47" i="4"/>
  <c r="O47" i="4" s="1"/>
  <c r="P47" i="4" s="1"/>
  <c r="F47" i="4"/>
  <c r="E47" i="4"/>
  <c r="N46" i="4"/>
  <c r="O46" i="4" s="1"/>
  <c r="P46" i="4" s="1"/>
  <c r="F46" i="4"/>
  <c r="E46" i="4"/>
  <c r="N45" i="4"/>
  <c r="O45" i="4" s="1"/>
  <c r="P45" i="4" s="1"/>
  <c r="F45" i="4"/>
  <c r="E45" i="4"/>
  <c r="N44" i="4"/>
  <c r="O44" i="4" s="1"/>
  <c r="P44" i="4" s="1"/>
  <c r="F44" i="4"/>
  <c r="E44" i="4"/>
  <c r="N43" i="4"/>
  <c r="O43" i="4" s="1"/>
  <c r="P43" i="4" s="1"/>
  <c r="F43" i="4"/>
  <c r="E43" i="4"/>
  <c r="N42" i="4"/>
  <c r="O42" i="4" s="1"/>
  <c r="P42" i="4" s="1"/>
  <c r="F42" i="4"/>
  <c r="E42" i="4"/>
  <c r="N41" i="4"/>
  <c r="O41" i="4" s="1"/>
  <c r="P41" i="4" s="1"/>
  <c r="F41" i="4"/>
  <c r="E41" i="4"/>
  <c r="N40" i="4"/>
  <c r="O40" i="4" s="1"/>
  <c r="P40" i="4" s="1"/>
  <c r="F40" i="4"/>
  <c r="E40" i="4"/>
  <c r="N39" i="4"/>
  <c r="O39" i="4" s="1"/>
  <c r="P39" i="4" s="1"/>
  <c r="F39" i="4"/>
  <c r="E39" i="4"/>
  <c r="N38" i="4"/>
  <c r="O38" i="4" s="1"/>
  <c r="P38" i="4" s="1"/>
  <c r="F38" i="4"/>
  <c r="E38" i="4"/>
  <c r="N37" i="4"/>
  <c r="O37" i="4" s="1"/>
  <c r="F37" i="4"/>
  <c r="E37" i="4"/>
  <c r="N36" i="4"/>
  <c r="O36" i="4" s="1"/>
  <c r="F36" i="4"/>
  <c r="E36" i="4"/>
  <c r="N35" i="4"/>
  <c r="O35" i="4" s="1"/>
  <c r="P35" i="4" s="1"/>
  <c r="F35" i="4"/>
  <c r="E35" i="4"/>
  <c r="N34" i="4"/>
  <c r="O34" i="4" s="1"/>
  <c r="P34" i="4" s="1"/>
  <c r="F34" i="4"/>
  <c r="E34" i="4"/>
  <c r="N33" i="4"/>
  <c r="O33" i="4" s="1"/>
  <c r="P33" i="4" s="1"/>
  <c r="F33" i="4"/>
  <c r="E33" i="4"/>
  <c r="N32" i="4"/>
  <c r="O32" i="4" s="1"/>
  <c r="P32" i="4" s="1"/>
  <c r="F32" i="4"/>
  <c r="E32" i="4"/>
  <c r="N31" i="4"/>
  <c r="O31" i="4" s="1"/>
  <c r="P31" i="4" s="1"/>
  <c r="F31" i="4"/>
  <c r="E31" i="4"/>
  <c r="N30" i="4"/>
  <c r="O30" i="4" s="1"/>
  <c r="P30" i="4" s="1"/>
  <c r="F30" i="4"/>
  <c r="E30" i="4"/>
  <c r="N29" i="4"/>
  <c r="O29" i="4" s="1"/>
  <c r="P29" i="4" s="1"/>
  <c r="F29" i="4"/>
  <c r="E29" i="4"/>
  <c r="N28" i="4"/>
  <c r="O28" i="4" s="1"/>
  <c r="P28" i="4" s="1"/>
  <c r="F28" i="4"/>
  <c r="E28" i="4"/>
  <c r="N27" i="4"/>
  <c r="O27" i="4" s="1"/>
  <c r="P27" i="4" s="1"/>
  <c r="F27" i="4"/>
  <c r="E27" i="4"/>
  <c r="N26" i="4"/>
  <c r="O26" i="4" s="1"/>
  <c r="P26" i="4" s="1"/>
  <c r="F26" i="4"/>
  <c r="E26" i="4"/>
  <c r="N25" i="4"/>
  <c r="O25" i="4" s="1"/>
  <c r="P25" i="4" s="1"/>
  <c r="F25" i="4"/>
  <c r="E25" i="4"/>
  <c r="N24" i="4"/>
  <c r="O24" i="4" s="1"/>
  <c r="P24" i="4" s="1"/>
  <c r="F24" i="4"/>
  <c r="E24" i="4"/>
  <c r="N23" i="4"/>
  <c r="O23" i="4" s="1"/>
  <c r="P23" i="4" s="1"/>
  <c r="F23" i="4"/>
  <c r="E23" i="4"/>
  <c r="N22" i="4"/>
  <c r="O22" i="4" s="1"/>
  <c r="P22" i="4" s="1"/>
  <c r="F22" i="4"/>
  <c r="E22" i="4"/>
  <c r="N21" i="4"/>
  <c r="O21" i="4" s="1"/>
  <c r="P21" i="4" s="1"/>
  <c r="F21" i="4"/>
  <c r="E21" i="4"/>
  <c r="N20" i="4"/>
  <c r="O20" i="4" s="1"/>
  <c r="P20" i="4" s="1"/>
  <c r="F20" i="4"/>
  <c r="E20" i="4"/>
  <c r="N19" i="4"/>
  <c r="O19" i="4" s="1"/>
  <c r="P19" i="4" s="1"/>
  <c r="F19" i="4"/>
  <c r="E19" i="4"/>
  <c r="N18" i="4"/>
  <c r="O18" i="4" s="1"/>
  <c r="P18" i="4" s="1"/>
  <c r="F18" i="4"/>
  <c r="E18" i="4"/>
  <c r="N17" i="4"/>
  <c r="O17" i="4" s="1"/>
  <c r="P17" i="4" s="1"/>
  <c r="F17" i="4"/>
  <c r="E17" i="4"/>
  <c r="N16" i="4"/>
  <c r="O16" i="4" s="1"/>
  <c r="P16" i="4" s="1"/>
  <c r="F16" i="4"/>
  <c r="E16" i="4"/>
  <c r="N15" i="4"/>
  <c r="O15" i="4" s="1"/>
  <c r="P15" i="4" s="1"/>
  <c r="F15" i="4"/>
  <c r="E15" i="4"/>
  <c r="N14" i="4"/>
  <c r="O14" i="4" s="1"/>
  <c r="F14" i="4"/>
  <c r="E14" i="4"/>
  <c r="N13" i="4"/>
  <c r="O13" i="4" s="1"/>
  <c r="P13" i="4" s="1"/>
  <c r="F13" i="4"/>
  <c r="E13" i="4"/>
  <c r="N12" i="4"/>
  <c r="O12" i="4" s="1"/>
  <c r="P12" i="4" s="1"/>
  <c r="F12" i="4"/>
  <c r="E12" i="4"/>
  <c r="N11" i="4"/>
  <c r="O11" i="4" s="1"/>
  <c r="P11" i="4" s="1"/>
  <c r="F11" i="4"/>
  <c r="E11" i="4"/>
  <c r="N10" i="4"/>
  <c r="O10" i="4" s="1"/>
  <c r="P10" i="4" s="1"/>
  <c r="F10" i="4"/>
  <c r="E10" i="4"/>
  <c r="N9" i="4"/>
  <c r="O9" i="4" s="1"/>
  <c r="P9" i="4" s="1"/>
  <c r="F9" i="4"/>
  <c r="E9" i="4"/>
  <c r="N8" i="4"/>
  <c r="O8" i="4" s="1"/>
  <c r="P8" i="4" s="1"/>
  <c r="F8" i="4"/>
  <c r="E8" i="4"/>
  <c r="N7" i="4"/>
  <c r="O7" i="4" s="1"/>
  <c r="P7" i="4" s="1"/>
  <c r="F7" i="4"/>
  <c r="E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N6" i="4"/>
  <c r="O6" i="4" s="1"/>
  <c r="F6" i="4"/>
  <c r="E6" i="4"/>
  <c r="Q771" i="3"/>
  <c r="O771" i="3"/>
  <c r="N771" i="3"/>
  <c r="M771" i="3"/>
  <c r="K771" i="3"/>
  <c r="I771" i="3"/>
  <c r="F771" i="3"/>
  <c r="E771" i="3"/>
  <c r="P770" i="3"/>
  <c r="L770" i="3"/>
  <c r="F770" i="3"/>
  <c r="E770" i="3"/>
  <c r="P769" i="3"/>
  <c r="L769" i="3"/>
  <c r="F769" i="3"/>
  <c r="E769" i="3"/>
  <c r="P768" i="3"/>
  <c r="L768" i="3"/>
  <c r="F768" i="3"/>
  <c r="E768" i="3"/>
  <c r="P767" i="3"/>
  <c r="L767" i="3"/>
  <c r="F767" i="3"/>
  <c r="E767" i="3"/>
  <c r="P766" i="3"/>
  <c r="L766" i="3"/>
  <c r="F766" i="3"/>
  <c r="E766" i="3"/>
  <c r="P765" i="3"/>
  <c r="L765" i="3"/>
  <c r="F765" i="3"/>
  <c r="E765" i="3"/>
  <c r="P764" i="3"/>
  <c r="L764" i="3"/>
  <c r="F764" i="3"/>
  <c r="E764" i="3"/>
  <c r="P763" i="3"/>
  <c r="L763" i="3"/>
  <c r="F763" i="3"/>
  <c r="E763" i="3"/>
  <c r="P762" i="3"/>
  <c r="L762" i="3"/>
  <c r="F762" i="3"/>
  <c r="E762" i="3"/>
  <c r="P761" i="3"/>
  <c r="L761" i="3"/>
  <c r="F761" i="3"/>
  <c r="E761" i="3"/>
  <c r="P760" i="3"/>
  <c r="L760" i="3"/>
  <c r="F760" i="3"/>
  <c r="E760" i="3"/>
  <c r="P759" i="3"/>
  <c r="L759" i="3"/>
  <c r="F759" i="3"/>
  <c r="E759" i="3"/>
  <c r="P758" i="3"/>
  <c r="L758" i="3"/>
  <c r="F758" i="3"/>
  <c r="E758" i="3"/>
  <c r="P757" i="3"/>
  <c r="L757" i="3"/>
  <c r="F757" i="3"/>
  <c r="E757" i="3"/>
  <c r="P756" i="3"/>
  <c r="L756" i="3"/>
  <c r="F756" i="3"/>
  <c r="E756" i="3"/>
  <c r="P755" i="3"/>
  <c r="L755" i="3"/>
  <c r="F755" i="3"/>
  <c r="E755" i="3"/>
  <c r="P754" i="3"/>
  <c r="L754" i="3"/>
  <c r="F754" i="3"/>
  <c r="E754" i="3"/>
  <c r="P753" i="3"/>
  <c r="L753" i="3"/>
  <c r="F753" i="3"/>
  <c r="E753" i="3"/>
  <c r="P752" i="3"/>
  <c r="L752" i="3"/>
  <c r="F752" i="3"/>
  <c r="E752" i="3"/>
  <c r="P751" i="3"/>
  <c r="L751" i="3"/>
  <c r="F751" i="3"/>
  <c r="E751" i="3"/>
  <c r="P750" i="3"/>
  <c r="L750" i="3"/>
  <c r="F750" i="3"/>
  <c r="E750" i="3"/>
  <c r="P749" i="3"/>
  <c r="L749" i="3"/>
  <c r="F749" i="3"/>
  <c r="E749" i="3"/>
  <c r="P748" i="3"/>
  <c r="L748" i="3"/>
  <c r="F748" i="3"/>
  <c r="E748" i="3"/>
  <c r="P747" i="3"/>
  <c r="L747" i="3"/>
  <c r="F747" i="3"/>
  <c r="E747" i="3"/>
  <c r="P746" i="3"/>
  <c r="L746" i="3"/>
  <c r="F746" i="3"/>
  <c r="E746" i="3"/>
  <c r="P745" i="3"/>
  <c r="L745" i="3"/>
  <c r="F745" i="3"/>
  <c r="E745" i="3"/>
  <c r="P744" i="3"/>
  <c r="L744" i="3"/>
  <c r="F744" i="3"/>
  <c r="E744" i="3"/>
  <c r="P743" i="3"/>
  <c r="L743" i="3"/>
  <c r="F743" i="3"/>
  <c r="E743" i="3"/>
  <c r="P742" i="3"/>
  <c r="L742" i="3"/>
  <c r="F742" i="3"/>
  <c r="E742" i="3"/>
  <c r="P741" i="3"/>
  <c r="L741" i="3"/>
  <c r="F741" i="3"/>
  <c r="E741" i="3"/>
  <c r="P740" i="3"/>
  <c r="L740" i="3"/>
  <c r="F740" i="3"/>
  <c r="E740" i="3"/>
  <c r="P739" i="3"/>
  <c r="L739" i="3"/>
  <c r="F739" i="3"/>
  <c r="E739" i="3"/>
  <c r="P738" i="3"/>
  <c r="L738" i="3"/>
  <c r="F738" i="3"/>
  <c r="E738" i="3"/>
  <c r="P737" i="3"/>
  <c r="L737" i="3"/>
  <c r="F737" i="3"/>
  <c r="E737" i="3"/>
  <c r="P736" i="3"/>
  <c r="L736" i="3"/>
  <c r="F736" i="3"/>
  <c r="E736" i="3"/>
  <c r="P735" i="3"/>
  <c r="L735" i="3"/>
  <c r="F735" i="3"/>
  <c r="E735" i="3"/>
  <c r="P734" i="3"/>
  <c r="L734" i="3"/>
  <c r="F734" i="3"/>
  <c r="E734" i="3"/>
  <c r="P733" i="3"/>
  <c r="L733" i="3"/>
  <c r="F733" i="3"/>
  <c r="E733" i="3"/>
  <c r="P732" i="3"/>
  <c r="L732" i="3"/>
  <c r="F732" i="3"/>
  <c r="E732" i="3"/>
  <c r="P731" i="3"/>
  <c r="L731" i="3"/>
  <c r="F731" i="3"/>
  <c r="E731" i="3"/>
  <c r="P730" i="3"/>
  <c r="L730" i="3"/>
  <c r="F730" i="3"/>
  <c r="E730" i="3"/>
  <c r="P729" i="3"/>
  <c r="L729" i="3"/>
  <c r="F729" i="3"/>
  <c r="E729" i="3"/>
  <c r="P728" i="3"/>
  <c r="L728" i="3"/>
  <c r="F728" i="3"/>
  <c r="E728" i="3"/>
  <c r="P727" i="3"/>
  <c r="L727" i="3"/>
  <c r="F727" i="3"/>
  <c r="E727" i="3"/>
  <c r="P726" i="3"/>
  <c r="L726" i="3"/>
  <c r="F726" i="3"/>
  <c r="E726" i="3"/>
  <c r="P725" i="3"/>
  <c r="L725" i="3"/>
  <c r="F725" i="3"/>
  <c r="E725" i="3"/>
  <c r="P724" i="3"/>
  <c r="L724" i="3"/>
  <c r="F724" i="3"/>
  <c r="E724" i="3"/>
  <c r="P723" i="3"/>
  <c r="L723" i="3"/>
  <c r="F723" i="3"/>
  <c r="E723" i="3"/>
  <c r="P722" i="3"/>
  <c r="L722" i="3"/>
  <c r="F722" i="3"/>
  <c r="E722" i="3"/>
  <c r="P721" i="3"/>
  <c r="L721" i="3"/>
  <c r="F721" i="3"/>
  <c r="E721" i="3"/>
  <c r="P720" i="3"/>
  <c r="L720" i="3"/>
  <c r="F720" i="3"/>
  <c r="E720" i="3"/>
  <c r="P719" i="3"/>
  <c r="L719" i="3"/>
  <c r="F719" i="3"/>
  <c r="E719" i="3"/>
  <c r="P718" i="3"/>
  <c r="L718" i="3"/>
  <c r="F718" i="3"/>
  <c r="E718" i="3"/>
  <c r="P717" i="3"/>
  <c r="L717" i="3"/>
  <c r="F717" i="3"/>
  <c r="E717" i="3"/>
  <c r="P716" i="3"/>
  <c r="L716" i="3"/>
  <c r="F716" i="3"/>
  <c r="E716" i="3"/>
  <c r="P715" i="3"/>
  <c r="L715" i="3"/>
  <c r="F715" i="3"/>
  <c r="E715" i="3"/>
  <c r="P714" i="3"/>
  <c r="L714" i="3"/>
  <c r="F714" i="3"/>
  <c r="E714" i="3"/>
  <c r="P713" i="3"/>
  <c r="L713" i="3"/>
  <c r="F713" i="3"/>
  <c r="E713" i="3"/>
  <c r="P712" i="3"/>
  <c r="L712" i="3"/>
  <c r="F712" i="3"/>
  <c r="E712" i="3"/>
  <c r="P711" i="3"/>
  <c r="L711" i="3"/>
  <c r="F711" i="3"/>
  <c r="E711" i="3"/>
  <c r="P710" i="3"/>
  <c r="L710" i="3"/>
  <c r="F710" i="3"/>
  <c r="E710" i="3"/>
  <c r="P709" i="3"/>
  <c r="L709" i="3"/>
  <c r="F709" i="3"/>
  <c r="E709" i="3"/>
  <c r="P708" i="3"/>
  <c r="L708" i="3"/>
  <c r="F708" i="3"/>
  <c r="E708" i="3"/>
  <c r="P707" i="3"/>
  <c r="L707" i="3"/>
  <c r="F707" i="3"/>
  <c r="E707" i="3"/>
  <c r="P706" i="3"/>
  <c r="L706" i="3"/>
  <c r="F706" i="3"/>
  <c r="E706" i="3"/>
  <c r="P705" i="3"/>
  <c r="L705" i="3"/>
  <c r="F705" i="3"/>
  <c r="E705" i="3"/>
  <c r="P704" i="3"/>
  <c r="L704" i="3"/>
  <c r="F704" i="3"/>
  <c r="E704" i="3"/>
  <c r="P703" i="3"/>
  <c r="L703" i="3"/>
  <c r="F703" i="3"/>
  <c r="E703" i="3"/>
  <c r="P702" i="3"/>
  <c r="L702" i="3"/>
  <c r="F702" i="3"/>
  <c r="E702" i="3"/>
  <c r="P701" i="3"/>
  <c r="L701" i="3"/>
  <c r="F701" i="3"/>
  <c r="E701" i="3"/>
  <c r="P700" i="3"/>
  <c r="L700" i="3"/>
  <c r="F700" i="3"/>
  <c r="E700" i="3"/>
  <c r="P699" i="3"/>
  <c r="L699" i="3"/>
  <c r="F699" i="3"/>
  <c r="E699" i="3"/>
  <c r="P698" i="3"/>
  <c r="L698" i="3"/>
  <c r="F698" i="3"/>
  <c r="E698" i="3"/>
  <c r="P697" i="3"/>
  <c r="L697" i="3"/>
  <c r="F697" i="3"/>
  <c r="E697" i="3"/>
  <c r="P696" i="3"/>
  <c r="L696" i="3"/>
  <c r="F696" i="3"/>
  <c r="E696" i="3"/>
  <c r="P695" i="3"/>
  <c r="L695" i="3"/>
  <c r="F695" i="3"/>
  <c r="E695" i="3"/>
  <c r="P694" i="3"/>
  <c r="L694" i="3"/>
  <c r="F694" i="3"/>
  <c r="E694" i="3"/>
  <c r="P693" i="3"/>
  <c r="L693" i="3"/>
  <c r="F693" i="3"/>
  <c r="E693" i="3"/>
  <c r="P692" i="3"/>
  <c r="L692" i="3"/>
  <c r="F692" i="3"/>
  <c r="E692" i="3"/>
  <c r="P691" i="3"/>
  <c r="L691" i="3"/>
  <c r="F691" i="3"/>
  <c r="E691" i="3"/>
  <c r="P690" i="3"/>
  <c r="L690" i="3"/>
  <c r="F690" i="3"/>
  <c r="E690" i="3"/>
  <c r="P689" i="3"/>
  <c r="L689" i="3"/>
  <c r="F689" i="3"/>
  <c r="E689" i="3"/>
  <c r="P688" i="3"/>
  <c r="L688" i="3"/>
  <c r="F688" i="3"/>
  <c r="E688" i="3"/>
  <c r="P687" i="3"/>
  <c r="L687" i="3"/>
  <c r="F687" i="3"/>
  <c r="E687" i="3"/>
  <c r="P686" i="3"/>
  <c r="L686" i="3"/>
  <c r="F686" i="3"/>
  <c r="E686" i="3"/>
  <c r="P685" i="3"/>
  <c r="L685" i="3"/>
  <c r="F685" i="3"/>
  <c r="E685" i="3"/>
  <c r="P684" i="3"/>
  <c r="L684" i="3"/>
  <c r="F684" i="3"/>
  <c r="E684" i="3"/>
  <c r="P683" i="3"/>
  <c r="L683" i="3"/>
  <c r="F683" i="3"/>
  <c r="E683" i="3"/>
  <c r="P682" i="3"/>
  <c r="L682" i="3"/>
  <c r="F682" i="3"/>
  <c r="E682" i="3"/>
  <c r="P681" i="3"/>
  <c r="L681" i="3"/>
  <c r="F681" i="3"/>
  <c r="E681" i="3"/>
  <c r="P680" i="3"/>
  <c r="L680" i="3"/>
  <c r="F680" i="3"/>
  <c r="E680" i="3"/>
  <c r="P679" i="3"/>
  <c r="L679" i="3"/>
  <c r="F679" i="3"/>
  <c r="E679" i="3"/>
  <c r="P678" i="3"/>
  <c r="L678" i="3"/>
  <c r="F678" i="3"/>
  <c r="E678" i="3"/>
  <c r="P677" i="3"/>
  <c r="L677" i="3"/>
  <c r="F677" i="3"/>
  <c r="E677" i="3"/>
  <c r="P676" i="3"/>
  <c r="L676" i="3"/>
  <c r="F676" i="3"/>
  <c r="E676" i="3"/>
  <c r="P675" i="3"/>
  <c r="L675" i="3"/>
  <c r="F675" i="3"/>
  <c r="E675" i="3"/>
  <c r="P674" i="3"/>
  <c r="L674" i="3"/>
  <c r="F674" i="3"/>
  <c r="E674" i="3"/>
  <c r="P673" i="3"/>
  <c r="L673" i="3"/>
  <c r="F673" i="3"/>
  <c r="E673" i="3"/>
  <c r="P672" i="3"/>
  <c r="L672" i="3"/>
  <c r="F672" i="3"/>
  <c r="E672" i="3"/>
  <c r="P671" i="3"/>
  <c r="L671" i="3"/>
  <c r="F671" i="3"/>
  <c r="E671" i="3"/>
  <c r="P670" i="3"/>
  <c r="L670" i="3"/>
  <c r="F670" i="3"/>
  <c r="E670" i="3"/>
  <c r="P669" i="3"/>
  <c r="L669" i="3"/>
  <c r="F669" i="3"/>
  <c r="E669" i="3"/>
  <c r="P668" i="3"/>
  <c r="L668" i="3"/>
  <c r="F668" i="3"/>
  <c r="E668" i="3"/>
  <c r="P667" i="3"/>
  <c r="L667" i="3"/>
  <c r="F667" i="3"/>
  <c r="E667" i="3"/>
  <c r="P666" i="3"/>
  <c r="L666" i="3"/>
  <c r="F666" i="3"/>
  <c r="E666" i="3"/>
  <c r="P665" i="3"/>
  <c r="L665" i="3"/>
  <c r="F665" i="3"/>
  <c r="E665" i="3"/>
  <c r="P664" i="3"/>
  <c r="L664" i="3"/>
  <c r="F664" i="3"/>
  <c r="E664" i="3"/>
  <c r="P663" i="3"/>
  <c r="L663" i="3"/>
  <c r="F663" i="3"/>
  <c r="E663" i="3"/>
  <c r="P662" i="3"/>
  <c r="L662" i="3"/>
  <c r="F662" i="3"/>
  <c r="E662" i="3"/>
  <c r="P661" i="3"/>
  <c r="L661" i="3"/>
  <c r="F661" i="3"/>
  <c r="E661" i="3"/>
  <c r="P660" i="3"/>
  <c r="L660" i="3"/>
  <c r="F660" i="3"/>
  <c r="E660" i="3"/>
  <c r="P659" i="3"/>
  <c r="L659" i="3"/>
  <c r="F659" i="3"/>
  <c r="E659" i="3"/>
  <c r="P658" i="3"/>
  <c r="L658" i="3"/>
  <c r="F658" i="3"/>
  <c r="E658" i="3"/>
  <c r="P657" i="3"/>
  <c r="L657" i="3"/>
  <c r="F657" i="3"/>
  <c r="E657" i="3"/>
  <c r="P656" i="3"/>
  <c r="L656" i="3"/>
  <c r="F656" i="3"/>
  <c r="E656" i="3"/>
  <c r="P655" i="3"/>
  <c r="L655" i="3"/>
  <c r="F655" i="3"/>
  <c r="E655" i="3"/>
  <c r="P654" i="3"/>
  <c r="L654" i="3"/>
  <c r="F654" i="3"/>
  <c r="E654" i="3"/>
  <c r="P653" i="3"/>
  <c r="L653" i="3"/>
  <c r="F653" i="3"/>
  <c r="E653" i="3"/>
  <c r="P652" i="3"/>
  <c r="L652" i="3"/>
  <c r="F652" i="3"/>
  <c r="E652" i="3"/>
  <c r="P651" i="3"/>
  <c r="L651" i="3"/>
  <c r="F651" i="3"/>
  <c r="E651" i="3"/>
  <c r="P650" i="3"/>
  <c r="L650" i="3"/>
  <c r="F650" i="3"/>
  <c r="E650" i="3"/>
  <c r="P649" i="3"/>
  <c r="L649" i="3"/>
  <c r="F649" i="3"/>
  <c r="E649" i="3"/>
  <c r="P648" i="3"/>
  <c r="L648" i="3"/>
  <c r="F648" i="3"/>
  <c r="E648" i="3"/>
  <c r="P647" i="3"/>
  <c r="L647" i="3"/>
  <c r="F647" i="3"/>
  <c r="E647" i="3"/>
  <c r="P646" i="3"/>
  <c r="L646" i="3"/>
  <c r="F646" i="3"/>
  <c r="E646" i="3"/>
  <c r="P645" i="3"/>
  <c r="L645" i="3"/>
  <c r="F645" i="3"/>
  <c r="E645" i="3"/>
  <c r="P644" i="3"/>
  <c r="L644" i="3"/>
  <c r="F644" i="3"/>
  <c r="E644" i="3"/>
  <c r="P643" i="3"/>
  <c r="L643" i="3"/>
  <c r="F643" i="3"/>
  <c r="E643" i="3"/>
  <c r="P642" i="3"/>
  <c r="L642" i="3"/>
  <c r="F642" i="3"/>
  <c r="E642" i="3"/>
  <c r="P641" i="3"/>
  <c r="L641" i="3"/>
  <c r="F641" i="3"/>
  <c r="E641" i="3"/>
  <c r="P640" i="3"/>
  <c r="L640" i="3"/>
  <c r="F640" i="3"/>
  <c r="E640" i="3"/>
  <c r="P639" i="3"/>
  <c r="L639" i="3"/>
  <c r="F639" i="3"/>
  <c r="E639" i="3"/>
  <c r="P638" i="3"/>
  <c r="L638" i="3"/>
  <c r="F638" i="3"/>
  <c r="E638" i="3"/>
  <c r="P637" i="3"/>
  <c r="L637" i="3"/>
  <c r="F637" i="3"/>
  <c r="E637" i="3"/>
  <c r="P636" i="3"/>
  <c r="L636" i="3"/>
  <c r="F636" i="3"/>
  <c r="E636" i="3"/>
  <c r="P635" i="3"/>
  <c r="L635" i="3"/>
  <c r="F635" i="3"/>
  <c r="E635" i="3"/>
  <c r="P634" i="3"/>
  <c r="L634" i="3"/>
  <c r="F634" i="3"/>
  <c r="E634" i="3"/>
  <c r="P633" i="3"/>
  <c r="L633" i="3"/>
  <c r="F633" i="3"/>
  <c r="E633" i="3"/>
  <c r="P632" i="3"/>
  <c r="L632" i="3"/>
  <c r="F632" i="3"/>
  <c r="E632" i="3"/>
  <c r="P631" i="3"/>
  <c r="L631" i="3"/>
  <c r="F631" i="3"/>
  <c r="E631" i="3"/>
  <c r="P630" i="3"/>
  <c r="L630" i="3"/>
  <c r="F630" i="3"/>
  <c r="E630" i="3"/>
  <c r="P629" i="3"/>
  <c r="L629" i="3"/>
  <c r="F629" i="3"/>
  <c r="E629" i="3"/>
  <c r="P628" i="3"/>
  <c r="L628" i="3"/>
  <c r="F628" i="3"/>
  <c r="E628" i="3"/>
  <c r="P627" i="3"/>
  <c r="L627" i="3"/>
  <c r="F627" i="3"/>
  <c r="E627" i="3"/>
  <c r="P626" i="3"/>
  <c r="L626" i="3"/>
  <c r="F626" i="3"/>
  <c r="E626" i="3"/>
  <c r="P625" i="3"/>
  <c r="L625" i="3"/>
  <c r="F625" i="3"/>
  <c r="E625" i="3"/>
  <c r="P624" i="3"/>
  <c r="L624" i="3"/>
  <c r="F624" i="3"/>
  <c r="E624" i="3"/>
  <c r="P623" i="3"/>
  <c r="L623" i="3"/>
  <c r="F623" i="3"/>
  <c r="E623" i="3"/>
  <c r="P622" i="3"/>
  <c r="L622" i="3"/>
  <c r="F622" i="3"/>
  <c r="E622" i="3"/>
  <c r="P621" i="3"/>
  <c r="L621" i="3"/>
  <c r="F621" i="3"/>
  <c r="E621" i="3"/>
  <c r="P620" i="3"/>
  <c r="L620" i="3"/>
  <c r="F620" i="3"/>
  <c r="E620" i="3"/>
  <c r="P619" i="3"/>
  <c r="L619" i="3"/>
  <c r="F619" i="3"/>
  <c r="E619" i="3"/>
  <c r="P618" i="3"/>
  <c r="L618" i="3"/>
  <c r="F618" i="3"/>
  <c r="E618" i="3"/>
  <c r="P617" i="3"/>
  <c r="L617" i="3"/>
  <c r="F617" i="3"/>
  <c r="E617" i="3"/>
  <c r="P616" i="3"/>
  <c r="L616" i="3"/>
  <c r="F616" i="3"/>
  <c r="E616" i="3"/>
  <c r="P615" i="3"/>
  <c r="L615" i="3"/>
  <c r="F615" i="3"/>
  <c r="E615" i="3"/>
  <c r="P614" i="3"/>
  <c r="L614" i="3"/>
  <c r="F614" i="3"/>
  <c r="E614" i="3"/>
  <c r="P613" i="3"/>
  <c r="L613" i="3"/>
  <c r="F613" i="3"/>
  <c r="E613" i="3"/>
  <c r="P612" i="3"/>
  <c r="L612" i="3"/>
  <c r="F612" i="3"/>
  <c r="E612" i="3"/>
  <c r="P611" i="3"/>
  <c r="L611" i="3"/>
  <c r="F611" i="3"/>
  <c r="E611" i="3"/>
  <c r="P610" i="3"/>
  <c r="L610" i="3"/>
  <c r="F610" i="3"/>
  <c r="E610" i="3"/>
  <c r="P609" i="3"/>
  <c r="L609" i="3"/>
  <c r="F609" i="3"/>
  <c r="E609" i="3"/>
  <c r="P608" i="3"/>
  <c r="L608" i="3"/>
  <c r="F608" i="3"/>
  <c r="E608" i="3"/>
  <c r="P607" i="3"/>
  <c r="L607" i="3"/>
  <c r="F607" i="3"/>
  <c r="E607" i="3"/>
  <c r="P606" i="3"/>
  <c r="L606" i="3"/>
  <c r="F606" i="3"/>
  <c r="E606" i="3"/>
  <c r="P605" i="3"/>
  <c r="L605" i="3"/>
  <c r="F605" i="3"/>
  <c r="E605" i="3"/>
  <c r="P604" i="3"/>
  <c r="L604" i="3"/>
  <c r="F604" i="3"/>
  <c r="E604" i="3"/>
  <c r="P603" i="3"/>
  <c r="L603" i="3"/>
  <c r="F603" i="3"/>
  <c r="E603" i="3"/>
  <c r="P602" i="3"/>
  <c r="L602" i="3"/>
  <c r="F602" i="3"/>
  <c r="E602" i="3"/>
  <c r="P601" i="3"/>
  <c r="L601" i="3"/>
  <c r="F601" i="3"/>
  <c r="E601" i="3"/>
  <c r="P600" i="3"/>
  <c r="L600" i="3"/>
  <c r="F600" i="3"/>
  <c r="E600" i="3"/>
  <c r="P599" i="3"/>
  <c r="L599" i="3"/>
  <c r="F599" i="3"/>
  <c r="E599" i="3"/>
  <c r="P598" i="3"/>
  <c r="L598" i="3"/>
  <c r="F598" i="3"/>
  <c r="E598" i="3"/>
  <c r="P597" i="3"/>
  <c r="L597" i="3"/>
  <c r="F597" i="3"/>
  <c r="E597" i="3"/>
  <c r="P596" i="3"/>
  <c r="L596" i="3"/>
  <c r="F596" i="3"/>
  <c r="E596" i="3"/>
  <c r="P595" i="3"/>
  <c r="L595" i="3"/>
  <c r="F595" i="3"/>
  <c r="E595" i="3"/>
  <c r="P594" i="3"/>
  <c r="L594" i="3"/>
  <c r="F594" i="3"/>
  <c r="E594" i="3"/>
  <c r="P593" i="3"/>
  <c r="L593" i="3"/>
  <c r="F593" i="3"/>
  <c r="E593" i="3"/>
  <c r="P592" i="3"/>
  <c r="L592" i="3"/>
  <c r="F592" i="3"/>
  <c r="E592" i="3"/>
  <c r="P591" i="3"/>
  <c r="L591" i="3"/>
  <c r="F591" i="3"/>
  <c r="E591" i="3"/>
  <c r="P590" i="3"/>
  <c r="L590" i="3"/>
  <c r="F590" i="3"/>
  <c r="E590" i="3"/>
  <c r="P589" i="3"/>
  <c r="L589" i="3"/>
  <c r="F589" i="3"/>
  <c r="E589" i="3"/>
  <c r="P588" i="3"/>
  <c r="L588" i="3"/>
  <c r="F588" i="3"/>
  <c r="E588" i="3"/>
  <c r="P587" i="3"/>
  <c r="L587" i="3"/>
  <c r="F587" i="3"/>
  <c r="E587" i="3"/>
  <c r="P586" i="3"/>
  <c r="L586" i="3"/>
  <c r="F586" i="3"/>
  <c r="E586" i="3"/>
  <c r="P585" i="3"/>
  <c r="L585" i="3"/>
  <c r="F585" i="3"/>
  <c r="E585" i="3"/>
  <c r="P584" i="3"/>
  <c r="L584" i="3"/>
  <c r="F584" i="3"/>
  <c r="E584" i="3"/>
  <c r="P583" i="3"/>
  <c r="L583" i="3"/>
  <c r="F583" i="3"/>
  <c r="E583" i="3"/>
  <c r="P582" i="3"/>
  <c r="L582" i="3"/>
  <c r="F582" i="3"/>
  <c r="E582" i="3"/>
  <c r="P581" i="3"/>
  <c r="L581" i="3"/>
  <c r="F581" i="3"/>
  <c r="E581" i="3"/>
  <c r="P580" i="3"/>
  <c r="L580" i="3"/>
  <c r="F580" i="3"/>
  <c r="E580" i="3"/>
  <c r="P579" i="3"/>
  <c r="L579" i="3"/>
  <c r="F579" i="3"/>
  <c r="E579" i="3"/>
  <c r="P578" i="3"/>
  <c r="L578" i="3"/>
  <c r="F578" i="3"/>
  <c r="E578" i="3"/>
  <c r="P577" i="3"/>
  <c r="L577" i="3"/>
  <c r="F577" i="3"/>
  <c r="E577" i="3"/>
  <c r="P576" i="3"/>
  <c r="L576" i="3"/>
  <c r="F576" i="3"/>
  <c r="E576" i="3"/>
  <c r="P575" i="3"/>
  <c r="L575" i="3"/>
  <c r="F575" i="3"/>
  <c r="E575" i="3"/>
  <c r="P574" i="3"/>
  <c r="L574" i="3"/>
  <c r="F574" i="3"/>
  <c r="E574" i="3"/>
  <c r="P573" i="3"/>
  <c r="L573" i="3"/>
  <c r="F573" i="3"/>
  <c r="E573" i="3"/>
  <c r="P572" i="3"/>
  <c r="L572" i="3"/>
  <c r="F572" i="3"/>
  <c r="E572" i="3"/>
  <c r="P571" i="3"/>
  <c r="L571" i="3"/>
  <c r="F571" i="3"/>
  <c r="E571" i="3"/>
  <c r="P570" i="3"/>
  <c r="L570" i="3"/>
  <c r="F570" i="3"/>
  <c r="E570" i="3"/>
  <c r="P569" i="3"/>
  <c r="L569" i="3"/>
  <c r="F569" i="3"/>
  <c r="E569" i="3"/>
  <c r="P568" i="3"/>
  <c r="L568" i="3"/>
  <c r="F568" i="3"/>
  <c r="E568" i="3"/>
  <c r="P567" i="3"/>
  <c r="L567" i="3"/>
  <c r="F567" i="3"/>
  <c r="E567" i="3"/>
  <c r="P566" i="3"/>
  <c r="L566" i="3"/>
  <c r="F566" i="3"/>
  <c r="E566" i="3"/>
  <c r="P565" i="3"/>
  <c r="L565" i="3"/>
  <c r="F565" i="3"/>
  <c r="E565" i="3"/>
  <c r="P564" i="3"/>
  <c r="L564" i="3"/>
  <c r="F564" i="3"/>
  <c r="E564" i="3"/>
  <c r="P563" i="3"/>
  <c r="L563" i="3"/>
  <c r="F563" i="3"/>
  <c r="E563" i="3"/>
  <c r="P562" i="3"/>
  <c r="L562" i="3"/>
  <c r="F562" i="3"/>
  <c r="E562" i="3"/>
  <c r="P561" i="3"/>
  <c r="L561" i="3"/>
  <c r="F561" i="3"/>
  <c r="E561" i="3"/>
  <c r="P560" i="3"/>
  <c r="L560" i="3"/>
  <c r="F560" i="3"/>
  <c r="E560" i="3"/>
  <c r="P559" i="3"/>
  <c r="L559" i="3"/>
  <c r="F559" i="3"/>
  <c r="E559" i="3"/>
  <c r="P558" i="3"/>
  <c r="L558" i="3"/>
  <c r="F558" i="3"/>
  <c r="E558" i="3"/>
  <c r="P557" i="3"/>
  <c r="L557" i="3"/>
  <c r="F557" i="3"/>
  <c r="E557" i="3"/>
  <c r="P556" i="3"/>
  <c r="L556" i="3"/>
  <c r="F556" i="3"/>
  <c r="E556" i="3"/>
  <c r="P555" i="3"/>
  <c r="L555" i="3"/>
  <c r="F555" i="3"/>
  <c r="E555" i="3"/>
  <c r="P554" i="3"/>
  <c r="L554" i="3"/>
  <c r="F554" i="3"/>
  <c r="E554" i="3"/>
  <c r="P553" i="3"/>
  <c r="L553" i="3"/>
  <c r="F553" i="3"/>
  <c r="E553" i="3"/>
  <c r="P552" i="3"/>
  <c r="L552" i="3"/>
  <c r="F552" i="3"/>
  <c r="E552" i="3"/>
  <c r="P551" i="3"/>
  <c r="L551" i="3"/>
  <c r="F551" i="3"/>
  <c r="E551" i="3"/>
  <c r="P550" i="3"/>
  <c r="L550" i="3"/>
  <c r="F550" i="3"/>
  <c r="E550" i="3"/>
  <c r="P549" i="3"/>
  <c r="L549" i="3"/>
  <c r="F549" i="3"/>
  <c r="E549" i="3"/>
  <c r="A549" i="3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P548" i="3"/>
  <c r="L548" i="3"/>
  <c r="F548" i="3"/>
  <c r="E548" i="3"/>
  <c r="P547" i="3"/>
  <c r="L547" i="3"/>
  <c r="F547" i="3"/>
  <c r="E547" i="3"/>
  <c r="P546" i="3"/>
  <c r="L546" i="3"/>
  <c r="F546" i="3"/>
  <c r="E546" i="3"/>
  <c r="P545" i="3"/>
  <c r="L545" i="3"/>
  <c r="F545" i="3"/>
  <c r="E545" i="3"/>
  <c r="P544" i="3"/>
  <c r="L544" i="3"/>
  <c r="F544" i="3"/>
  <c r="E544" i="3"/>
  <c r="P543" i="3"/>
  <c r="L543" i="3"/>
  <c r="F543" i="3"/>
  <c r="E543" i="3"/>
  <c r="P542" i="3"/>
  <c r="L542" i="3"/>
  <c r="F542" i="3"/>
  <c r="E542" i="3"/>
  <c r="P541" i="3"/>
  <c r="L541" i="3"/>
  <c r="F541" i="3"/>
  <c r="E541" i="3"/>
  <c r="P540" i="3"/>
  <c r="L540" i="3"/>
  <c r="F540" i="3"/>
  <c r="E540" i="3"/>
  <c r="P539" i="3"/>
  <c r="L539" i="3"/>
  <c r="F539" i="3"/>
  <c r="E539" i="3"/>
  <c r="P538" i="3"/>
  <c r="L538" i="3"/>
  <c r="F538" i="3"/>
  <c r="E538" i="3"/>
  <c r="P537" i="3"/>
  <c r="L537" i="3"/>
  <c r="F537" i="3"/>
  <c r="E537" i="3"/>
  <c r="P536" i="3"/>
  <c r="L536" i="3"/>
  <c r="F536" i="3"/>
  <c r="E536" i="3"/>
  <c r="P535" i="3"/>
  <c r="F535" i="3"/>
  <c r="E535" i="3"/>
  <c r="P534" i="3"/>
  <c r="F534" i="3"/>
  <c r="E534" i="3"/>
  <c r="P533" i="3"/>
  <c r="F533" i="3"/>
  <c r="E533" i="3"/>
  <c r="P532" i="3"/>
  <c r="L532" i="3"/>
  <c r="F532" i="3"/>
  <c r="E532" i="3"/>
  <c r="P531" i="3"/>
  <c r="L531" i="3"/>
  <c r="F531" i="3"/>
  <c r="E531" i="3"/>
  <c r="P530" i="3"/>
  <c r="F530" i="3"/>
  <c r="E530" i="3"/>
  <c r="P529" i="3"/>
  <c r="F529" i="3"/>
  <c r="E529" i="3"/>
  <c r="P528" i="3"/>
  <c r="F528" i="3"/>
  <c r="E528" i="3"/>
  <c r="P527" i="3"/>
  <c r="F527" i="3"/>
  <c r="E527" i="3"/>
  <c r="P526" i="3"/>
  <c r="F526" i="3"/>
  <c r="E526" i="3"/>
  <c r="P525" i="3"/>
  <c r="F525" i="3"/>
  <c r="E525" i="3"/>
  <c r="P524" i="3"/>
  <c r="L524" i="3"/>
  <c r="F524" i="3"/>
  <c r="E524" i="3"/>
  <c r="P523" i="3"/>
  <c r="L523" i="3"/>
  <c r="F523" i="3"/>
  <c r="E523" i="3"/>
  <c r="P522" i="3"/>
  <c r="L522" i="3"/>
  <c r="F522" i="3"/>
  <c r="E522" i="3"/>
  <c r="P521" i="3"/>
  <c r="L521" i="3"/>
  <c r="F521" i="3"/>
  <c r="E521" i="3"/>
  <c r="P520" i="3"/>
  <c r="L520" i="3"/>
  <c r="F520" i="3"/>
  <c r="E520" i="3"/>
  <c r="P519" i="3"/>
  <c r="L519" i="3"/>
  <c r="F519" i="3"/>
  <c r="E519" i="3"/>
  <c r="P518" i="3"/>
  <c r="L518" i="3"/>
  <c r="F518" i="3"/>
  <c r="E518" i="3"/>
  <c r="P517" i="3"/>
  <c r="F517" i="3"/>
  <c r="E517" i="3"/>
  <c r="P516" i="3"/>
  <c r="F516" i="3"/>
  <c r="E516" i="3"/>
  <c r="P515" i="3"/>
  <c r="L515" i="3"/>
  <c r="F515" i="3"/>
  <c r="E515" i="3"/>
  <c r="P514" i="3"/>
  <c r="L514" i="3"/>
  <c r="F514" i="3"/>
  <c r="E514" i="3"/>
  <c r="P513" i="3"/>
  <c r="L513" i="3"/>
  <c r="F513" i="3"/>
  <c r="E513" i="3"/>
  <c r="P512" i="3"/>
  <c r="L512" i="3"/>
  <c r="F512" i="3"/>
  <c r="E512" i="3"/>
  <c r="A512" i="3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P511" i="3"/>
  <c r="L511" i="3"/>
  <c r="F511" i="3"/>
  <c r="E511" i="3"/>
  <c r="P510" i="3"/>
  <c r="L510" i="3"/>
  <c r="F510" i="3"/>
  <c r="E510" i="3"/>
  <c r="P509" i="3"/>
  <c r="L509" i="3"/>
  <c r="F509" i="3"/>
  <c r="E509" i="3"/>
  <c r="P508" i="3"/>
  <c r="L508" i="3"/>
  <c r="F508" i="3"/>
  <c r="E508" i="3"/>
  <c r="P507" i="3"/>
  <c r="L507" i="3"/>
  <c r="F507" i="3"/>
  <c r="E507" i="3"/>
  <c r="P506" i="3"/>
  <c r="L506" i="3"/>
  <c r="F506" i="3"/>
  <c r="E506" i="3"/>
  <c r="P505" i="3"/>
  <c r="L505" i="3"/>
  <c r="F505" i="3"/>
  <c r="E505" i="3"/>
  <c r="P504" i="3"/>
  <c r="L504" i="3"/>
  <c r="F504" i="3"/>
  <c r="E504" i="3"/>
  <c r="P503" i="3"/>
  <c r="L503" i="3"/>
  <c r="F503" i="3"/>
  <c r="E503" i="3"/>
  <c r="P502" i="3"/>
  <c r="L502" i="3"/>
  <c r="F502" i="3"/>
  <c r="E502" i="3"/>
  <c r="P501" i="3"/>
  <c r="L501" i="3"/>
  <c r="F501" i="3"/>
  <c r="E501" i="3"/>
  <c r="P500" i="3"/>
  <c r="L500" i="3"/>
  <c r="F500" i="3"/>
  <c r="E500" i="3"/>
  <c r="P499" i="3"/>
  <c r="L499" i="3"/>
  <c r="F499" i="3"/>
  <c r="E499" i="3"/>
  <c r="P498" i="3"/>
  <c r="L498" i="3"/>
  <c r="F498" i="3"/>
  <c r="E498" i="3"/>
  <c r="P497" i="3"/>
  <c r="L497" i="3"/>
  <c r="F497" i="3"/>
  <c r="E497" i="3"/>
  <c r="P496" i="3"/>
  <c r="L496" i="3"/>
  <c r="F496" i="3"/>
  <c r="E496" i="3"/>
  <c r="P495" i="3"/>
  <c r="L495" i="3"/>
  <c r="F495" i="3"/>
  <c r="E495" i="3"/>
  <c r="P494" i="3"/>
  <c r="L494" i="3"/>
  <c r="F494" i="3"/>
  <c r="E494" i="3"/>
  <c r="P493" i="3"/>
  <c r="L493" i="3"/>
  <c r="F493" i="3"/>
  <c r="E493" i="3"/>
  <c r="P492" i="3"/>
  <c r="L492" i="3"/>
  <c r="F492" i="3"/>
  <c r="E492" i="3"/>
  <c r="P491" i="3"/>
  <c r="L491" i="3"/>
  <c r="F491" i="3"/>
  <c r="E491" i="3"/>
  <c r="P490" i="3"/>
  <c r="L490" i="3"/>
  <c r="F490" i="3"/>
  <c r="E490" i="3"/>
  <c r="P489" i="3"/>
  <c r="L489" i="3"/>
  <c r="F489" i="3"/>
  <c r="E489" i="3"/>
  <c r="P488" i="3"/>
  <c r="L488" i="3"/>
  <c r="F488" i="3"/>
  <c r="E488" i="3"/>
  <c r="P487" i="3"/>
  <c r="L487" i="3"/>
  <c r="F487" i="3"/>
  <c r="E487" i="3"/>
  <c r="P486" i="3"/>
  <c r="L486" i="3"/>
  <c r="F486" i="3"/>
  <c r="E486" i="3"/>
  <c r="P485" i="3"/>
  <c r="L485" i="3"/>
  <c r="F485" i="3"/>
  <c r="E485" i="3"/>
  <c r="P484" i="3"/>
  <c r="L484" i="3"/>
  <c r="F484" i="3"/>
  <c r="E484" i="3"/>
  <c r="P483" i="3"/>
  <c r="L483" i="3"/>
  <c r="F483" i="3"/>
  <c r="E483" i="3"/>
  <c r="P482" i="3"/>
  <c r="F482" i="3"/>
  <c r="E482" i="3"/>
  <c r="P481" i="3"/>
  <c r="F481" i="3"/>
  <c r="E481" i="3"/>
  <c r="P480" i="3"/>
  <c r="L480" i="3"/>
  <c r="F480" i="3"/>
  <c r="E480" i="3"/>
  <c r="P479" i="3"/>
  <c r="L479" i="3"/>
  <c r="F479" i="3"/>
  <c r="E479" i="3"/>
  <c r="P478" i="3"/>
  <c r="L478" i="3"/>
  <c r="F478" i="3"/>
  <c r="E478" i="3"/>
  <c r="P477" i="3"/>
  <c r="L477" i="3"/>
  <c r="F477" i="3"/>
  <c r="E477" i="3"/>
  <c r="P476" i="3"/>
  <c r="F476" i="3"/>
  <c r="E476" i="3"/>
  <c r="P475" i="3"/>
  <c r="F475" i="3"/>
  <c r="E475" i="3"/>
  <c r="P474" i="3"/>
  <c r="L474" i="3"/>
  <c r="F474" i="3"/>
  <c r="E474" i="3"/>
  <c r="P473" i="3"/>
  <c r="L473" i="3"/>
  <c r="F473" i="3"/>
  <c r="E473" i="3"/>
  <c r="P472" i="3"/>
  <c r="L472" i="3"/>
  <c r="F472" i="3"/>
  <c r="E472" i="3"/>
  <c r="P471" i="3"/>
  <c r="L471" i="3"/>
  <c r="F471" i="3"/>
  <c r="E471" i="3"/>
  <c r="A471" i="3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P470" i="3"/>
  <c r="L470" i="3"/>
  <c r="F470" i="3"/>
  <c r="E470" i="3"/>
  <c r="P469" i="3"/>
  <c r="L469" i="3"/>
  <c r="F469" i="3"/>
  <c r="E469" i="3"/>
  <c r="P468" i="3"/>
  <c r="L468" i="3"/>
  <c r="F468" i="3"/>
  <c r="E468" i="3"/>
  <c r="P467" i="3"/>
  <c r="L467" i="3"/>
  <c r="F467" i="3"/>
  <c r="E467" i="3"/>
  <c r="P466" i="3"/>
  <c r="L466" i="3"/>
  <c r="F466" i="3"/>
  <c r="E466" i="3"/>
  <c r="P465" i="3"/>
  <c r="L465" i="3"/>
  <c r="F465" i="3"/>
  <c r="E465" i="3"/>
  <c r="P464" i="3"/>
  <c r="L464" i="3"/>
  <c r="F464" i="3"/>
  <c r="E464" i="3"/>
  <c r="P463" i="3"/>
  <c r="L463" i="3"/>
  <c r="F463" i="3"/>
  <c r="E463" i="3"/>
  <c r="P462" i="3"/>
  <c r="L462" i="3"/>
  <c r="F462" i="3"/>
  <c r="E462" i="3"/>
  <c r="P461" i="3"/>
  <c r="L461" i="3"/>
  <c r="F461" i="3"/>
  <c r="E461" i="3"/>
  <c r="P460" i="3"/>
  <c r="F460" i="3"/>
  <c r="E460" i="3"/>
  <c r="P459" i="3"/>
  <c r="F459" i="3"/>
  <c r="E459" i="3"/>
  <c r="P458" i="3"/>
  <c r="F458" i="3"/>
  <c r="E458" i="3"/>
  <c r="P457" i="3"/>
  <c r="F457" i="3"/>
  <c r="E457" i="3"/>
  <c r="P456" i="3"/>
  <c r="F456" i="3"/>
  <c r="E456" i="3"/>
  <c r="P455" i="3"/>
  <c r="F455" i="3"/>
  <c r="E455" i="3"/>
  <c r="P454" i="3"/>
  <c r="F454" i="3"/>
  <c r="E454" i="3"/>
  <c r="P453" i="3"/>
  <c r="L453" i="3"/>
  <c r="F453" i="3"/>
  <c r="E453" i="3"/>
  <c r="P452" i="3"/>
  <c r="L452" i="3"/>
  <c r="F452" i="3"/>
  <c r="E452" i="3"/>
  <c r="P451" i="3"/>
  <c r="L451" i="3"/>
  <c r="F451" i="3"/>
  <c r="E451" i="3"/>
  <c r="P450" i="3"/>
  <c r="F450" i="3"/>
  <c r="E450" i="3"/>
  <c r="P449" i="3"/>
  <c r="F449" i="3"/>
  <c r="E449" i="3"/>
  <c r="P448" i="3"/>
  <c r="L448" i="3"/>
  <c r="F448" i="3"/>
  <c r="E448" i="3"/>
  <c r="L447" i="3"/>
  <c r="F447" i="3"/>
  <c r="E447" i="3"/>
  <c r="P446" i="3"/>
  <c r="L446" i="3"/>
  <c r="F446" i="3"/>
  <c r="E446" i="3"/>
  <c r="P445" i="3"/>
  <c r="F445" i="3"/>
  <c r="E445" i="3"/>
  <c r="P444" i="3"/>
  <c r="F444" i="3"/>
  <c r="E444" i="3"/>
  <c r="P443" i="3"/>
  <c r="L443" i="3"/>
  <c r="F443" i="3"/>
  <c r="E443" i="3"/>
  <c r="P442" i="3"/>
  <c r="L442" i="3"/>
  <c r="F442" i="3"/>
  <c r="E442" i="3"/>
  <c r="P441" i="3"/>
  <c r="P771" i="3" s="1"/>
  <c r="L441" i="3"/>
  <c r="L771" i="3" s="1"/>
  <c r="F441" i="3"/>
  <c r="E441" i="3"/>
  <c r="P440" i="3"/>
  <c r="L440" i="3"/>
  <c r="F440" i="3"/>
  <c r="E440" i="3"/>
  <c r="P439" i="3"/>
  <c r="L439" i="3"/>
  <c r="F439" i="3"/>
  <c r="E439" i="3"/>
  <c r="P438" i="3"/>
  <c r="L438" i="3"/>
  <c r="F438" i="3"/>
  <c r="E438" i="3"/>
  <c r="P437" i="3"/>
  <c r="L437" i="3"/>
  <c r="F437" i="3"/>
  <c r="E437" i="3"/>
  <c r="P436" i="3"/>
  <c r="L436" i="3"/>
  <c r="F436" i="3"/>
  <c r="E436" i="3"/>
  <c r="P435" i="3"/>
  <c r="L435" i="3"/>
  <c r="F435" i="3"/>
  <c r="E435" i="3"/>
  <c r="A435" i="3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P434" i="3"/>
  <c r="L434" i="3"/>
  <c r="F434" i="3"/>
  <c r="E434" i="3"/>
  <c r="P433" i="3"/>
  <c r="L433" i="3"/>
  <c r="F433" i="3"/>
  <c r="E433" i="3"/>
  <c r="P432" i="3"/>
  <c r="L432" i="3"/>
  <c r="F432" i="3"/>
  <c r="E432" i="3"/>
  <c r="P431" i="3"/>
  <c r="L431" i="3"/>
  <c r="F431" i="3"/>
  <c r="E431" i="3"/>
  <c r="P430" i="3"/>
  <c r="L430" i="3"/>
  <c r="F430" i="3"/>
  <c r="E430" i="3"/>
  <c r="P429" i="3"/>
  <c r="L429" i="3"/>
  <c r="F429" i="3"/>
  <c r="E429" i="3"/>
  <c r="P428" i="3"/>
  <c r="L428" i="3"/>
  <c r="F428" i="3"/>
  <c r="E428" i="3"/>
  <c r="P427" i="3"/>
  <c r="L427" i="3"/>
  <c r="F427" i="3"/>
  <c r="E427" i="3"/>
  <c r="P426" i="3"/>
  <c r="F426" i="3"/>
  <c r="E426" i="3"/>
  <c r="P425" i="3"/>
  <c r="L425" i="3"/>
  <c r="F425" i="3"/>
  <c r="E425" i="3"/>
  <c r="P424" i="3"/>
  <c r="L424" i="3"/>
  <c r="F424" i="3"/>
  <c r="E424" i="3"/>
  <c r="P423" i="3"/>
  <c r="L423" i="3"/>
  <c r="F423" i="3"/>
  <c r="E423" i="3"/>
  <c r="P422" i="3"/>
  <c r="L422" i="3"/>
  <c r="F422" i="3"/>
  <c r="E422" i="3"/>
  <c r="P421" i="3"/>
  <c r="L421" i="3"/>
  <c r="F421" i="3"/>
  <c r="E421" i="3"/>
  <c r="P420" i="3"/>
  <c r="L420" i="3"/>
  <c r="F420" i="3"/>
  <c r="E420" i="3"/>
  <c r="P419" i="3"/>
  <c r="F419" i="3"/>
  <c r="E419" i="3"/>
  <c r="P418" i="3"/>
  <c r="F418" i="3"/>
  <c r="E418" i="3"/>
  <c r="P417" i="3"/>
  <c r="L417" i="3"/>
  <c r="F417" i="3"/>
  <c r="E417" i="3"/>
  <c r="P416" i="3"/>
  <c r="F416" i="3"/>
  <c r="E416" i="3"/>
  <c r="P415" i="3"/>
  <c r="F415" i="3"/>
  <c r="E415" i="3"/>
  <c r="P414" i="3"/>
  <c r="F414" i="3"/>
  <c r="E414" i="3"/>
  <c r="P413" i="3"/>
  <c r="L413" i="3"/>
  <c r="F413" i="3"/>
  <c r="E413" i="3"/>
  <c r="P412" i="3"/>
  <c r="L412" i="3"/>
  <c r="F412" i="3"/>
  <c r="E412" i="3"/>
  <c r="P411" i="3"/>
  <c r="L411" i="3"/>
  <c r="F411" i="3"/>
  <c r="E411" i="3"/>
  <c r="P410" i="3"/>
  <c r="L410" i="3"/>
  <c r="F410" i="3"/>
  <c r="E410" i="3"/>
  <c r="F409" i="3"/>
  <c r="E409" i="3"/>
  <c r="P408" i="3"/>
  <c r="L408" i="3"/>
  <c r="F408" i="3"/>
  <c r="E408" i="3"/>
  <c r="P407" i="3"/>
  <c r="L407" i="3"/>
  <c r="F407" i="3"/>
  <c r="E407" i="3"/>
  <c r="P406" i="3"/>
  <c r="L406" i="3"/>
  <c r="F406" i="3"/>
  <c r="E406" i="3"/>
  <c r="P405" i="3"/>
  <c r="L405" i="3"/>
  <c r="F405" i="3"/>
  <c r="E405" i="3"/>
  <c r="A405" i="3"/>
  <c r="A406" i="3" s="1"/>
  <c r="A407" i="3" s="1"/>
  <c r="A408" i="3" s="1"/>
  <c r="P404" i="3"/>
  <c r="L404" i="3"/>
  <c r="F404" i="3"/>
  <c r="E404" i="3"/>
  <c r="F403" i="3"/>
  <c r="E403" i="3"/>
  <c r="P402" i="3"/>
  <c r="L402" i="3"/>
  <c r="F402" i="3"/>
  <c r="E402" i="3"/>
  <c r="P401" i="3"/>
  <c r="L401" i="3"/>
  <c r="F401" i="3"/>
  <c r="E401" i="3"/>
  <c r="P400" i="3"/>
  <c r="L400" i="3"/>
  <c r="F400" i="3"/>
  <c r="E400" i="3"/>
  <c r="P399" i="3"/>
  <c r="L399" i="3"/>
  <c r="F399" i="3"/>
  <c r="E399" i="3"/>
  <c r="P398" i="3"/>
  <c r="L398" i="3"/>
  <c r="F398" i="3"/>
  <c r="E398" i="3"/>
  <c r="P397" i="3"/>
  <c r="L397" i="3"/>
  <c r="F397" i="3"/>
  <c r="E397" i="3"/>
  <c r="P396" i="3"/>
  <c r="F396" i="3"/>
  <c r="E396" i="3"/>
  <c r="P395" i="3"/>
  <c r="L395" i="3"/>
  <c r="F395" i="3"/>
  <c r="E395" i="3"/>
  <c r="P394" i="3"/>
  <c r="L394" i="3"/>
  <c r="F394" i="3"/>
  <c r="E394" i="3"/>
  <c r="P393" i="3"/>
  <c r="F393" i="3"/>
  <c r="E393" i="3"/>
  <c r="P392" i="3"/>
  <c r="F392" i="3"/>
  <c r="E392" i="3"/>
  <c r="P391" i="3"/>
  <c r="F391" i="3"/>
  <c r="E391" i="3"/>
  <c r="P390" i="3"/>
  <c r="F390" i="3"/>
  <c r="E390" i="3"/>
  <c r="P389" i="3"/>
  <c r="L389" i="3"/>
  <c r="F389" i="3"/>
  <c r="E389" i="3"/>
  <c r="P388" i="3"/>
  <c r="F388" i="3"/>
  <c r="E388" i="3"/>
  <c r="P387" i="3"/>
  <c r="F387" i="3"/>
  <c r="E387" i="3"/>
  <c r="P386" i="3"/>
  <c r="F386" i="3"/>
  <c r="E386" i="3"/>
  <c r="P385" i="3"/>
  <c r="F385" i="3"/>
  <c r="E385" i="3"/>
  <c r="P384" i="3"/>
  <c r="F384" i="3"/>
  <c r="E384" i="3"/>
  <c r="P383" i="3"/>
  <c r="F383" i="3"/>
  <c r="E383" i="3"/>
  <c r="P382" i="3"/>
  <c r="L382" i="3"/>
  <c r="F382" i="3"/>
  <c r="E382" i="3"/>
  <c r="P381" i="3"/>
  <c r="L381" i="3"/>
  <c r="F381" i="3"/>
  <c r="E381" i="3"/>
  <c r="P380" i="3"/>
  <c r="F380" i="3"/>
  <c r="E380" i="3"/>
  <c r="P379" i="3"/>
  <c r="F379" i="3"/>
  <c r="E379" i="3"/>
  <c r="P378" i="3"/>
  <c r="L378" i="3"/>
  <c r="F378" i="3"/>
  <c r="E378" i="3"/>
  <c r="P377" i="3"/>
  <c r="L377" i="3"/>
  <c r="F377" i="3"/>
  <c r="E377" i="3"/>
  <c r="P376" i="3"/>
  <c r="L376" i="3"/>
  <c r="F376" i="3"/>
  <c r="E376" i="3"/>
  <c r="P375" i="3"/>
  <c r="L375" i="3"/>
  <c r="F375" i="3"/>
  <c r="E375" i="3"/>
  <c r="P374" i="3"/>
  <c r="F374" i="3"/>
  <c r="E374" i="3"/>
  <c r="A374" i="3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P373" i="3"/>
  <c r="F373" i="3"/>
  <c r="E373" i="3"/>
  <c r="P372" i="3"/>
  <c r="L372" i="3"/>
  <c r="F372" i="3"/>
  <c r="E372" i="3"/>
  <c r="P371" i="3"/>
  <c r="F371" i="3"/>
  <c r="E371" i="3"/>
  <c r="P370" i="3"/>
  <c r="F370" i="3"/>
  <c r="E370" i="3"/>
  <c r="P369" i="3"/>
  <c r="F369" i="3"/>
  <c r="E369" i="3"/>
  <c r="P368" i="3"/>
  <c r="F368" i="3"/>
  <c r="E368" i="3"/>
  <c r="P367" i="3"/>
  <c r="L367" i="3"/>
  <c r="F367" i="3"/>
  <c r="E367" i="3"/>
  <c r="P366" i="3"/>
  <c r="L366" i="3"/>
  <c r="F366" i="3"/>
  <c r="E366" i="3"/>
  <c r="A366" i="3"/>
  <c r="A367" i="3" s="1"/>
  <c r="A368" i="3" s="1"/>
  <c r="A369" i="3" s="1"/>
  <c r="A370" i="3" s="1"/>
  <c r="A371" i="3" s="1"/>
  <c r="A372" i="3" s="1"/>
  <c r="P365" i="3"/>
  <c r="L365" i="3"/>
  <c r="F365" i="3"/>
  <c r="E365" i="3"/>
  <c r="P364" i="3"/>
  <c r="L364" i="3"/>
  <c r="F364" i="3"/>
  <c r="E364" i="3"/>
  <c r="P363" i="3"/>
  <c r="L363" i="3"/>
  <c r="F363" i="3"/>
  <c r="E363" i="3"/>
  <c r="P362" i="3"/>
  <c r="L362" i="3"/>
  <c r="F362" i="3"/>
  <c r="E362" i="3"/>
  <c r="P361" i="3"/>
  <c r="L361" i="3"/>
  <c r="F361" i="3"/>
  <c r="E361" i="3"/>
  <c r="P360" i="3"/>
  <c r="L360" i="3"/>
  <c r="F360" i="3"/>
  <c r="E360" i="3"/>
  <c r="P359" i="3"/>
  <c r="L359" i="3"/>
  <c r="F359" i="3"/>
  <c r="E359" i="3"/>
  <c r="P358" i="3"/>
  <c r="L358" i="3"/>
  <c r="F358" i="3"/>
  <c r="E358" i="3"/>
  <c r="P357" i="3"/>
  <c r="L357" i="3"/>
  <c r="F357" i="3"/>
  <c r="E357" i="3"/>
  <c r="P356" i="3"/>
  <c r="F356" i="3"/>
  <c r="E356" i="3"/>
  <c r="P355" i="3"/>
  <c r="F355" i="3"/>
  <c r="E355" i="3"/>
  <c r="P354" i="3"/>
  <c r="F354" i="3"/>
  <c r="E354" i="3"/>
  <c r="P353" i="3"/>
  <c r="F353" i="3"/>
  <c r="E353" i="3"/>
  <c r="P352" i="3"/>
  <c r="L352" i="3"/>
  <c r="F352" i="3"/>
  <c r="E352" i="3"/>
  <c r="P351" i="3"/>
  <c r="F351" i="3"/>
  <c r="E351" i="3"/>
  <c r="P350" i="3"/>
  <c r="F350" i="3"/>
  <c r="E350" i="3"/>
  <c r="P349" i="3"/>
  <c r="F349" i="3"/>
  <c r="E349" i="3"/>
  <c r="P348" i="3"/>
  <c r="F348" i="3"/>
  <c r="E348" i="3"/>
  <c r="P347" i="3"/>
  <c r="F347" i="3"/>
  <c r="E347" i="3"/>
  <c r="P346" i="3"/>
  <c r="F346" i="3"/>
  <c r="E346" i="3"/>
  <c r="P345" i="3"/>
  <c r="F345" i="3"/>
  <c r="E345" i="3"/>
  <c r="P344" i="3"/>
  <c r="F344" i="3"/>
  <c r="E344" i="3"/>
  <c r="P343" i="3"/>
  <c r="L343" i="3"/>
  <c r="F343" i="3"/>
  <c r="E343" i="3"/>
  <c r="P342" i="3"/>
  <c r="L342" i="3"/>
  <c r="F342" i="3"/>
  <c r="E342" i="3"/>
  <c r="P341" i="3"/>
  <c r="L341" i="3"/>
  <c r="F341" i="3"/>
  <c r="E341" i="3"/>
  <c r="P340" i="3"/>
  <c r="L340" i="3"/>
  <c r="F340" i="3"/>
  <c r="E340" i="3"/>
  <c r="P339" i="3"/>
  <c r="F339" i="3"/>
  <c r="E339" i="3"/>
  <c r="P338" i="3"/>
  <c r="F338" i="3"/>
  <c r="E338" i="3"/>
  <c r="P337" i="3"/>
  <c r="L337" i="3"/>
  <c r="F337" i="3"/>
  <c r="E337" i="3"/>
  <c r="P336" i="3"/>
  <c r="L336" i="3"/>
  <c r="F336" i="3"/>
  <c r="E336" i="3"/>
  <c r="P335" i="3"/>
  <c r="L335" i="3"/>
  <c r="F335" i="3"/>
  <c r="E335" i="3"/>
  <c r="P334" i="3"/>
  <c r="L334" i="3"/>
  <c r="F334" i="3"/>
  <c r="E334" i="3"/>
  <c r="P333" i="3"/>
  <c r="L333" i="3"/>
  <c r="F333" i="3"/>
  <c r="E333" i="3"/>
  <c r="A333" i="3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P332" i="3"/>
  <c r="L332" i="3"/>
  <c r="F332" i="3"/>
  <c r="E332" i="3"/>
  <c r="P331" i="3"/>
  <c r="L331" i="3"/>
  <c r="F331" i="3"/>
  <c r="E331" i="3"/>
  <c r="P330" i="3"/>
  <c r="L330" i="3"/>
  <c r="F330" i="3"/>
  <c r="E330" i="3"/>
  <c r="P329" i="3"/>
  <c r="L329" i="3"/>
  <c r="F329" i="3"/>
  <c r="E329" i="3"/>
  <c r="P328" i="3"/>
  <c r="F328" i="3"/>
  <c r="E328" i="3"/>
  <c r="P327" i="3"/>
  <c r="L327" i="3"/>
  <c r="F327" i="3"/>
  <c r="E327" i="3"/>
  <c r="P326" i="3"/>
  <c r="L326" i="3"/>
  <c r="F326" i="3"/>
  <c r="E326" i="3"/>
  <c r="P325" i="3"/>
  <c r="F325" i="3"/>
  <c r="E325" i="3"/>
  <c r="P324" i="3"/>
  <c r="L324" i="3"/>
  <c r="F324" i="3"/>
  <c r="E324" i="3"/>
  <c r="P323" i="3"/>
  <c r="F323" i="3"/>
  <c r="E323" i="3"/>
  <c r="P322" i="3"/>
  <c r="F322" i="3"/>
  <c r="E322" i="3"/>
  <c r="P321" i="3"/>
  <c r="L321" i="3"/>
  <c r="F321" i="3"/>
  <c r="E321" i="3"/>
  <c r="P320" i="3"/>
  <c r="L320" i="3"/>
  <c r="F320" i="3"/>
  <c r="E320" i="3"/>
  <c r="P319" i="3"/>
  <c r="L319" i="3"/>
  <c r="F319" i="3"/>
  <c r="E319" i="3"/>
  <c r="P318" i="3"/>
  <c r="F318" i="3"/>
  <c r="E318" i="3"/>
  <c r="P317" i="3"/>
  <c r="F317" i="3"/>
  <c r="E317" i="3"/>
  <c r="P316" i="3"/>
  <c r="F316" i="3"/>
  <c r="E316" i="3"/>
  <c r="P315" i="3"/>
  <c r="F315" i="3"/>
  <c r="E315" i="3"/>
  <c r="P314" i="3"/>
  <c r="F314" i="3"/>
  <c r="E314" i="3"/>
  <c r="P313" i="3"/>
  <c r="F313" i="3"/>
  <c r="E313" i="3"/>
  <c r="P312" i="3"/>
  <c r="F312" i="3"/>
  <c r="E312" i="3"/>
  <c r="P311" i="3"/>
  <c r="L311" i="3"/>
  <c r="F311" i="3"/>
  <c r="E311" i="3"/>
  <c r="P310" i="3"/>
  <c r="L310" i="3"/>
  <c r="F310" i="3"/>
  <c r="E310" i="3"/>
  <c r="P309" i="3"/>
  <c r="L309" i="3"/>
  <c r="F309" i="3"/>
  <c r="E309" i="3"/>
  <c r="P308" i="3"/>
  <c r="L308" i="3"/>
  <c r="F308" i="3"/>
  <c r="E308" i="3"/>
  <c r="P307" i="3"/>
  <c r="L307" i="3"/>
  <c r="F307" i="3"/>
  <c r="E307" i="3"/>
  <c r="P306" i="3"/>
  <c r="L306" i="3"/>
  <c r="F306" i="3"/>
  <c r="E306" i="3"/>
  <c r="P305" i="3"/>
  <c r="L305" i="3"/>
  <c r="F305" i="3"/>
  <c r="E305" i="3"/>
  <c r="P304" i="3"/>
  <c r="L304" i="3"/>
  <c r="F304" i="3"/>
  <c r="E304" i="3"/>
  <c r="P303" i="3"/>
  <c r="F303" i="3"/>
  <c r="E303" i="3"/>
  <c r="P302" i="3"/>
  <c r="L302" i="3"/>
  <c r="F302" i="3"/>
  <c r="E302" i="3"/>
  <c r="P301" i="3"/>
  <c r="L301" i="3"/>
  <c r="F301" i="3"/>
  <c r="E301" i="3"/>
  <c r="P300" i="3"/>
  <c r="L300" i="3"/>
  <c r="F300" i="3"/>
  <c r="E300" i="3"/>
  <c r="P299" i="3"/>
  <c r="F299" i="3"/>
  <c r="E299" i="3"/>
  <c r="P298" i="3"/>
  <c r="L298" i="3"/>
  <c r="F298" i="3"/>
  <c r="E298" i="3"/>
  <c r="P297" i="3"/>
  <c r="F297" i="3"/>
  <c r="E297" i="3"/>
  <c r="P296" i="3"/>
  <c r="F296" i="3"/>
  <c r="E296" i="3"/>
  <c r="P295" i="3"/>
  <c r="L295" i="3"/>
  <c r="F295" i="3"/>
  <c r="E295" i="3"/>
  <c r="P294" i="3"/>
  <c r="L294" i="3"/>
  <c r="F294" i="3"/>
  <c r="E294" i="3"/>
  <c r="F293" i="3"/>
  <c r="E293" i="3"/>
  <c r="P292" i="3"/>
  <c r="L292" i="3"/>
  <c r="F292" i="3"/>
  <c r="E292" i="3"/>
  <c r="A292" i="3"/>
  <c r="P291" i="3"/>
  <c r="L291" i="3"/>
  <c r="F291" i="3"/>
  <c r="E291" i="3"/>
  <c r="P290" i="3"/>
  <c r="F290" i="3"/>
  <c r="E290" i="3"/>
  <c r="P289" i="3"/>
  <c r="F289" i="3"/>
  <c r="E289" i="3"/>
  <c r="P288" i="3"/>
  <c r="L288" i="3"/>
  <c r="F288" i="3"/>
  <c r="E288" i="3"/>
  <c r="P287" i="3"/>
  <c r="L287" i="3"/>
  <c r="F287" i="3"/>
  <c r="E287" i="3"/>
  <c r="P286" i="3"/>
  <c r="L286" i="3"/>
  <c r="F286" i="3"/>
  <c r="E286" i="3"/>
  <c r="P285" i="3"/>
  <c r="L285" i="3"/>
  <c r="F285" i="3"/>
  <c r="E285" i="3"/>
  <c r="P284" i="3"/>
  <c r="F284" i="3"/>
  <c r="E284" i="3"/>
  <c r="P283" i="3"/>
  <c r="F283" i="3"/>
  <c r="E283" i="3"/>
  <c r="P282" i="3"/>
  <c r="L282" i="3"/>
  <c r="F282" i="3"/>
  <c r="E282" i="3"/>
  <c r="P281" i="3"/>
  <c r="L281" i="3"/>
  <c r="F281" i="3"/>
  <c r="E281" i="3"/>
  <c r="P280" i="3"/>
  <c r="L280" i="3"/>
  <c r="F280" i="3"/>
  <c r="E280" i="3"/>
  <c r="P279" i="3"/>
  <c r="L279" i="3"/>
  <c r="F279" i="3"/>
  <c r="E279" i="3"/>
  <c r="P278" i="3"/>
  <c r="L278" i="3"/>
  <c r="F278" i="3"/>
  <c r="E278" i="3"/>
  <c r="P277" i="3"/>
  <c r="F277" i="3"/>
  <c r="E277" i="3"/>
  <c r="P276" i="3"/>
  <c r="F276" i="3"/>
  <c r="E276" i="3"/>
  <c r="P275" i="3"/>
  <c r="F275" i="3"/>
  <c r="E275" i="3"/>
  <c r="P274" i="3"/>
  <c r="F274" i="3"/>
  <c r="E274" i="3"/>
  <c r="P273" i="3"/>
  <c r="L273" i="3"/>
  <c r="F273" i="3"/>
  <c r="E273" i="3"/>
  <c r="P272" i="3"/>
  <c r="L272" i="3"/>
  <c r="F272" i="3"/>
  <c r="E272" i="3"/>
  <c r="P271" i="3"/>
  <c r="L271" i="3"/>
  <c r="F271" i="3"/>
  <c r="E271" i="3"/>
  <c r="P270" i="3"/>
  <c r="L270" i="3"/>
  <c r="F270" i="3"/>
  <c r="E270" i="3"/>
  <c r="P269" i="3"/>
  <c r="F269" i="3"/>
  <c r="E269" i="3"/>
  <c r="P268" i="3"/>
  <c r="L268" i="3"/>
  <c r="F268" i="3"/>
  <c r="E268" i="3"/>
  <c r="P267" i="3"/>
  <c r="L267" i="3"/>
  <c r="F267" i="3"/>
  <c r="E267" i="3"/>
  <c r="P266" i="3"/>
  <c r="L266" i="3"/>
  <c r="F266" i="3"/>
  <c r="E266" i="3"/>
  <c r="P265" i="3"/>
  <c r="L265" i="3"/>
  <c r="F265" i="3"/>
  <c r="E265" i="3"/>
  <c r="P264" i="3"/>
  <c r="L264" i="3"/>
  <c r="F264" i="3"/>
  <c r="E264" i="3"/>
  <c r="P263" i="3"/>
  <c r="F263" i="3"/>
  <c r="E263" i="3"/>
  <c r="P262" i="3"/>
  <c r="F262" i="3"/>
  <c r="E262" i="3"/>
  <c r="P261" i="3"/>
  <c r="F261" i="3"/>
  <c r="E261" i="3"/>
  <c r="P260" i="3"/>
  <c r="L260" i="3"/>
  <c r="F260" i="3"/>
  <c r="E260" i="3"/>
  <c r="P259" i="3"/>
  <c r="F259" i="3"/>
  <c r="E259" i="3"/>
  <c r="P258" i="3"/>
  <c r="L258" i="3"/>
  <c r="F258" i="3"/>
  <c r="E258" i="3"/>
  <c r="P257" i="3"/>
  <c r="L257" i="3"/>
  <c r="F257" i="3"/>
  <c r="E257" i="3"/>
  <c r="P256" i="3"/>
  <c r="L256" i="3"/>
  <c r="F256" i="3"/>
  <c r="E256" i="3"/>
  <c r="P255" i="3"/>
  <c r="L255" i="3"/>
  <c r="F255" i="3"/>
  <c r="E255" i="3"/>
  <c r="P254" i="3"/>
  <c r="L254" i="3"/>
  <c r="F254" i="3"/>
  <c r="E254" i="3"/>
  <c r="A254" i="3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P253" i="3"/>
  <c r="L253" i="3"/>
  <c r="F253" i="3"/>
  <c r="E253" i="3"/>
  <c r="P252" i="3"/>
  <c r="L252" i="3"/>
  <c r="F252" i="3"/>
  <c r="E252" i="3"/>
  <c r="P251" i="3"/>
  <c r="L251" i="3"/>
  <c r="F251" i="3"/>
  <c r="E251" i="3"/>
  <c r="P250" i="3"/>
  <c r="L250" i="3"/>
  <c r="F250" i="3"/>
  <c r="E250" i="3"/>
  <c r="P249" i="3"/>
  <c r="L249" i="3"/>
  <c r="F249" i="3"/>
  <c r="E249" i="3"/>
  <c r="P248" i="3"/>
  <c r="F248" i="3"/>
  <c r="E248" i="3"/>
  <c r="P247" i="3"/>
  <c r="F247" i="3"/>
  <c r="E247" i="3"/>
  <c r="P246" i="3"/>
  <c r="F246" i="3"/>
  <c r="E246" i="3"/>
  <c r="P245" i="3"/>
  <c r="F245" i="3"/>
  <c r="E245" i="3"/>
  <c r="P244" i="3"/>
  <c r="F244" i="3"/>
  <c r="E244" i="3"/>
  <c r="P243" i="3"/>
  <c r="F243" i="3"/>
  <c r="E243" i="3"/>
  <c r="P242" i="3"/>
  <c r="L242" i="3"/>
  <c r="F242" i="3"/>
  <c r="E242" i="3"/>
  <c r="P241" i="3"/>
  <c r="L241" i="3"/>
  <c r="F241" i="3"/>
  <c r="E241" i="3"/>
  <c r="P240" i="3"/>
  <c r="F240" i="3"/>
  <c r="E240" i="3"/>
  <c r="P239" i="3"/>
  <c r="F239" i="3"/>
  <c r="E239" i="3"/>
  <c r="P238" i="3"/>
  <c r="F238" i="3"/>
  <c r="E238" i="3"/>
  <c r="P237" i="3"/>
  <c r="F237" i="3"/>
  <c r="E237" i="3"/>
  <c r="P236" i="3"/>
  <c r="F236" i="3"/>
  <c r="E236" i="3"/>
  <c r="P235" i="3"/>
  <c r="L235" i="3"/>
  <c r="F235" i="3"/>
  <c r="E235" i="3"/>
  <c r="P234" i="3"/>
  <c r="L234" i="3"/>
  <c r="F234" i="3"/>
  <c r="E234" i="3"/>
  <c r="P233" i="3"/>
  <c r="L233" i="3"/>
  <c r="F233" i="3"/>
  <c r="E233" i="3"/>
  <c r="P232" i="3"/>
  <c r="L232" i="3"/>
  <c r="F232" i="3"/>
  <c r="E232" i="3"/>
  <c r="P231" i="3"/>
  <c r="F231" i="3"/>
  <c r="E231" i="3"/>
  <c r="P230" i="3"/>
  <c r="F230" i="3"/>
  <c r="E230" i="3"/>
  <c r="P229" i="3"/>
  <c r="L229" i="3"/>
  <c r="F229" i="3"/>
  <c r="E229" i="3"/>
  <c r="P228" i="3"/>
  <c r="L228" i="3"/>
  <c r="F228" i="3"/>
  <c r="E228" i="3"/>
  <c r="P227" i="3"/>
  <c r="L227" i="3"/>
  <c r="F227" i="3"/>
  <c r="E227" i="3"/>
  <c r="A227" i="3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P226" i="3"/>
  <c r="L226" i="3"/>
  <c r="F226" i="3"/>
  <c r="E226" i="3"/>
  <c r="P225" i="3"/>
  <c r="L225" i="3"/>
  <c r="F225" i="3"/>
  <c r="E225" i="3"/>
  <c r="P224" i="3"/>
  <c r="F224" i="3"/>
  <c r="E224" i="3"/>
  <c r="P223" i="3"/>
  <c r="F223" i="3"/>
  <c r="E223" i="3"/>
  <c r="P222" i="3"/>
  <c r="F222" i="3"/>
  <c r="E222" i="3"/>
  <c r="P221" i="3"/>
  <c r="L221" i="3"/>
  <c r="F221" i="3"/>
  <c r="E221" i="3"/>
  <c r="P220" i="3"/>
  <c r="L220" i="3"/>
  <c r="F220" i="3"/>
  <c r="E220" i="3"/>
  <c r="P219" i="3"/>
  <c r="L219" i="3"/>
  <c r="F219" i="3"/>
  <c r="E219" i="3"/>
  <c r="P218" i="3"/>
  <c r="L218" i="3"/>
  <c r="F218" i="3"/>
  <c r="E218" i="3"/>
  <c r="P217" i="3"/>
  <c r="L217" i="3"/>
  <c r="F217" i="3"/>
  <c r="E217" i="3"/>
  <c r="P216" i="3"/>
  <c r="L216" i="3"/>
  <c r="F216" i="3"/>
  <c r="E216" i="3"/>
  <c r="P215" i="3"/>
  <c r="L215" i="3"/>
  <c r="F215" i="3"/>
  <c r="E215" i="3"/>
  <c r="P214" i="3"/>
  <c r="L214" i="3"/>
  <c r="F214" i="3"/>
  <c r="E214" i="3"/>
  <c r="P213" i="3"/>
  <c r="L213" i="3"/>
  <c r="F213" i="3"/>
  <c r="E213" i="3"/>
  <c r="P212" i="3"/>
  <c r="F212" i="3"/>
  <c r="E212" i="3"/>
  <c r="P211" i="3"/>
  <c r="F211" i="3"/>
  <c r="E211" i="3"/>
  <c r="P210" i="3"/>
  <c r="L210" i="3"/>
  <c r="F210" i="3"/>
  <c r="E210" i="3"/>
  <c r="P209" i="3"/>
  <c r="L209" i="3"/>
  <c r="F209" i="3"/>
  <c r="E209" i="3"/>
  <c r="P208" i="3"/>
  <c r="L208" i="3"/>
  <c r="F208" i="3"/>
  <c r="E208" i="3"/>
  <c r="P207" i="3"/>
  <c r="L207" i="3"/>
  <c r="F207" i="3"/>
  <c r="E207" i="3"/>
  <c r="P206" i="3"/>
  <c r="L206" i="3"/>
  <c r="F206" i="3"/>
  <c r="E206" i="3"/>
  <c r="P205" i="3"/>
  <c r="F205" i="3"/>
  <c r="E205" i="3"/>
  <c r="P204" i="3"/>
  <c r="L204" i="3"/>
  <c r="F204" i="3"/>
  <c r="E204" i="3"/>
  <c r="P203" i="3"/>
  <c r="L203" i="3"/>
  <c r="F203" i="3"/>
  <c r="E203" i="3"/>
  <c r="P202" i="3"/>
  <c r="F202" i="3"/>
  <c r="E202" i="3"/>
  <c r="P201" i="3"/>
  <c r="F201" i="3"/>
  <c r="E201" i="3"/>
  <c r="P200" i="3"/>
  <c r="F200" i="3"/>
  <c r="E200" i="3"/>
  <c r="P199" i="3"/>
  <c r="L199" i="3"/>
  <c r="F199" i="3"/>
  <c r="E199" i="3"/>
  <c r="P198" i="3"/>
  <c r="L198" i="3"/>
  <c r="F198" i="3"/>
  <c r="E198" i="3"/>
  <c r="P197" i="3"/>
  <c r="L197" i="3"/>
  <c r="F197" i="3"/>
  <c r="E197" i="3"/>
  <c r="P196" i="3"/>
  <c r="L196" i="3"/>
  <c r="F196" i="3"/>
  <c r="E196" i="3"/>
  <c r="P195" i="3"/>
  <c r="F195" i="3"/>
  <c r="E195" i="3"/>
  <c r="P194" i="3"/>
  <c r="F194" i="3"/>
  <c r="E194" i="3"/>
  <c r="P193" i="3"/>
  <c r="L193" i="3"/>
  <c r="F193" i="3"/>
  <c r="E193" i="3"/>
  <c r="P192" i="3"/>
  <c r="L192" i="3"/>
  <c r="F192" i="3"/>
  <c r="E192" i="3"/>
  <c r="P191" i="3"/>
  <c r="F191" i="3"/>
  <c r="E191" i="3"/>
  <c r="P190" i="3"/>
  <c r="F190" i="3"/>
  <c r="E190" i="3"/>
  <c r="P189" i="3"/>
  <c r="F189" i="3"/>
  <c r="E189" i="3"/>
  <c r="P188" i="3"/>
  <c r="F188" i="3"/>
  <c r="E188" i="3"/>
  <c r="P187" i="3"/>
  <c r="F187" i="3"/>
  <c r="E187" i="3"/>
  <c r="P186" i="3"/>
  <c r="L186" i="3"/>
  <c r="F186" i="3"/>
  <c r="E186" i="3"/>
  <c r="A186" i="3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P185" i="3"/>
  <c r="L185" i="3"/>
  <c r="F185" i="3"/>
  <c r="E185" i="3"/>
  <c r="P184" i="3"/>
  <c r="L184" i="3"/>
  <c r="F184" i="3"/>
  <c r="E184" i="3"/>
  <c r="P183" i="3"/>
  <c r="L183" i="3"/>
  <c r="F183" i="3"/>
  <c r="E183" i="3"/>
  <c r="P182" i="3"/>
  <c r="L182" i="3"/>
  <c r="F182" i="3"/>
  <c r="E182" i="3"/>
  <c r="P181" i="3"/>
  <c r="L181" i="3"/>
  <c r="F181" i="3"/>
  <c r="E181" i="3"/>
  <c r="P180" i="3"/>
  <c r="L180" i="3"/>
  <c r="F180" i="3"/>
  <c r="E180" i="3"/>
  <c r="P179" i="3"/>
  <c r="L179" i="3"/>
  <c r="F179" i="3"/>
  <c r="E179" i="3"/>
  <c r="P178" i="3"/>
  <c r="L178" i="3"/>
  <c r="F178" i="3"/>
  <c r="E178" i="3"/>
  <c r="P177" i="3"/>
  <c r="L177" i="3"/>
  <c r="F177" i="3"/>
  <c r="E177" i="3"/>
  <c r="P176" i="3"/>
  <c r="L176" i="3"/>
  <c r="F176" i="3"/>
  <c r="E176" i="3"/>
  <c r="P175" i="3"/>
  <c r="F175" i="3"/>
  <c r="E175" i="3"/>
  <c r="P174" i="3"/>
  <c r="L174" i="3"/>
  <c r="F174" i="3"/>
  <c r="E174" i="3"/>
  <c r="P173" i="3"/>
  <c r="L173" i="3"/>
  <c r="F173" i="3"/>
  <c r="E173" i="3"/>
  <c r="P172" i="3"/>
  <c r="L172" i="3"/>
  <c r="F172" i="3"/>
  <c r="E172" i="3"/>
  <c r="P171" i="3"/>
  <c r="F171" i="3"/>
  <c r="E171" i="3"/>
  <c r="A171" i="3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P170" i="3"/>
  <c r="F170" i="3"/>
  <c r="E170" i="3"/>
  <c r="P169" i="3"/>
  <c r="L169" i="3"/>
  <c r="F169" i="3"/>
  <c r="E169" i="3"/>
  <c r="P168" i="3"/>
  <c r="L168" i="3"/>
  <c r="F168" i="3"/>
  <c r="E168" i="3"/>
  <c r="P167" i="3"/>
  <c r="L167" i="3"/>
  <c r="F167" i="3"/>
  <c r="E167" i="3"/>
  <c r="P166" i="3"/>
  <c r="L166" i="3"/>
  <c r="F166" i="3"/>
  <c r="E166" i="3"/>
  <c r="P165" i="3"/>
  <c r="L165" i="3"/>
  <c r="F165" i="3"/>
  <c r="E165" i="3"/>
  <c r="P164" i="3"/>
  <c r="F164" i="3"/>
  <c r="E164" i="3"/>
  <c r="P163" i="3"/>
  <c r="F163" i="3"/>
  <c r="E163" i="3"/>
  <c r="P162" i="3"/>
  <c r="F162" i="3"/>
  <c r="E162" i="3"/>
  <c r="P161" i="3"/>
  <c r="F161" i="3"/>
  <c r="E161" i="3"/>
  <c r="P160" i="3"/>
  <c r="F160" i="3"/>
  <c r="E160" i="3"/>
  <c r="P159" i="3"/>
  <c r="F159" i="3"/>
  <c r="E159" i="3"/>
  <c r="P158" i="3"/>
  <c r="F158" i="3"/>
  <c r="E158" i="3"/>
  <c r="P157" i="3"/>
  <c r="L157" i="3"/>
  <c r="F157" i="3"/>
  <c r="E157" i="3"/>
  <c r="P156" i="3"/>
  <c r="L156" i="3"/>
  <c r="F156" i="3"/>
  <c r="E156" i="3"/>
  <c r="P155" i="3"/>
  <c r="L155" i="3"/>
  <c r="F155" i="3"/>
  <c r="E155" i="3"/>
  <c r="P154" i="3"/>
  <c r="L154" i="3"/>
  <c r="F154" i="3"/>
  <c r="E154" i="3"/>
  <c r="P153" i="3"/>
  <c r="L153" i="3"/>
  <c r="F153" i="3"/>
  <c r="E153" i="3"/>
  <c r="P152" i="3"/>
  <c r="L152" i="3"/>
  <c r="F152" i="3"/>
  <c r="E152" i="3"/>
  <c r="P151" i="3"/>
  <c r="L151" i="3"/>
  <c r="F151" i="3"/>
  <c r="E151" i="3"/>
  <c r="P150" i="3"/>
  <c r="L150" i="3"/>
  <c r="F150" i="3"/>
  <c r="E150" i="3"/>
  <c r="P149" i="3"/>
  <c r="L149" i="3"/>
  <c r="F149" i="3"/>
  <c r="E149" i="3"/>
  <c r="P148" i="3"/>
  <c r="L148" i="3"/>
  <c r="F148" i="3"/>
  <c r="E148" i="3"/>
  <c r="P147" i="3"/>
  <c r="L147" i="3"/>
  <c r="F147" i="3"/>
  <c r="E147" i="3"/>
  <c r="P146" i="3"/>
  <c r="L146" i="3"/>
  <c r="F146" i="3"/>
  <c r="E146" i="3"/>
  <c r="P145" i="3"/>
  <c r="L145" i="3"/>
  <c r="F145" i="3"/>
  <c r="E145" i="3"/>
  <c r="P144" i="3"/>
  <c r="L144" i="3"/>
  <c r="F144" i="3"/>
  <c r="E144" i="3"/>
  <c r="P143" i="3"/>
  <c r="L143" i="3"/>
  <c r="F143" i="3"/>
  <c r="E143" i="3"/>
  <c r="P142" i="3"/>
  <c r="L142" i="3"/>
  <c r="F142" i="3"/>
  <c r="E142" i="3"/>
  <c r="P141" i="3"/>
  <c r="L141" i="3"/>
  <c r="F141" i="3"/>
  <c r="E141" i="3"/>
  <c r="P140" i="3"/>
  <c r="L140" i="3"/>
  <c r="F140" i="3"/>
  <c r="E140" i="3"/>
  <c r="P139" i="3"/>
  <c r="L139" i="3"/>
  <c r="F139" i="3"/>
  <c r="E139" i="3"/>
  <c r="A139" i="3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P138" i="3"/>
  <c r="L138" i="3"/>
  <c r="F138" i="3"/>
  <c r="E138" i="3"/>
  <c r="P137" i="3"/>
  <c r="L137" i="3"/>
  <c r="F137" i="3"/>
  <c r="E137" i="3"/>
  <c r="P136" i="3"/>
  <c r="L136" i="3"/>
  <c r="F136" i="3"/>
  <c r="E136" i="3"/>
  <c r="P135" i="3"/>
  <c r="L135" i="3"/>
  <c r="F135" i="3"/>
  <c r="E135" i="3"/>
  <c r="P134" i="3"/>
  <c r="L134" i="3"/>
  <c r="F134" i="3"/>
  <c r="E134" i="3"/>
  <c r="P133" i="3"/>
  <c r="F133" i="3"/>
  <c r="E133" i="3"/>
  <c r="P132" i="3"/>
  <c r="F132" i="3"/>
  <c r="E132" i="3"/>
  <c r="P131" i="3"/>
  <c r="F131" i="3"/>
  <c r="E131" i="3"/>
  <c r="P130" i="3"/>
  <c r="L130" i="3"/>
  <c r="F130" i="3"/>
  <c r="E130" i="3"/>
  <c r="P129" i="3"/>
  <c r="F129" i="3"/>
  <c r="E129" i="3"/>
  <c r="P128" i="3"/>
  <c r="F128" i="3"/>
  <c r="E128" i="3"/>
  <c r="P127" i="3"/>
  <c r="F127" i="3"/>
  <c r="E127" i="3"/>
  <c r="P126" i="3"/>
  <c r="L126" i="3"/>
  <c r="F126" i="3"/>
  <c r="E126" i="3"/>
  <c r="P125" i="3"/>
  <c r="F125" i="3"/>
  <c r="E125" i="3"/>
  <c r="P124" i="3"/>
  <c r="F124" i="3"/>
  <c r="E124" i="3"/>
  <c r="P123" i="3"/>
  <c r="F123" i="3"/>
  <c r="E123" i="3"/>
  <c r="P122" i="3"/>
  <c r="L122" i="3"/>
  <c r="F122" i="3"/>
  <c r="E122" i="3"/>
  <c r="P121" i="3"/>
  <c r="L121" i="3"/>
  <c r="F121" i="3"/>
  <c r="E121" i="3"/>
  <c r="P120" i="3"/>
  <c r="L120" i="3"/>
  <c r="F120" i="3"/>
  <c r="E120" i="3"/>
  <c r="P119" i="3"/>
  <c r="F119" i="3"/>
  <c r="E119" i="3"/>
  <c r="P118" i="3"/>
  <c r="L118" i="3"/>
  <c r="F118" i="3"/>
  <c r="E118" i="3"/>
  <c r="P117" i="3"/>
  <c r="L117" i="3"/>
  <c r="F117" i="3"/>
  <c r="E117" i="3"/>
  <c r="P116" i="3"/>
  <c r="L116" i="3"/>
  <c r="F116" i="3"/>
  <c r="E116" i="3"/>
  <c r="P115" i="3"/>
  <c r="L115" i="3"/>
  <c r="F115" i="3"/>
  <c r="E115" i="3"/>
  <c r="P114" i="3"/>
  <c r="L114" i="3"/>
  <c r="F114" i="3"/>
  <c r="E114" i="3"/>
  <c r="P113" i="3"/>
  <c r="L113" i="3"/>
  <c r="F113" i="3"/>
  <c r="E113" i="3"/>
  <c r="P112" i="3"/>
  <c r="F112" i="3"/>
  <c r="E112" i="3"/>
  <c r="P111" i="3"/>
  <c r="F111" i="3"/>
  <c r="E111" i="3"/>
  <c r="P110" i="3"/>
  <c r="F110" i="3"/>
  <c r="E110" i="3"/>
  <c r="P109" i="3"/>
  <c r="L109" i="3"/>
  <c r="F109" i="3"/>
  <c r="E109" i="3"/>
  <c r="P108" i="3"/>
  <c r="L108" i="3"/>
  <c r="F108" i="3"/>
  <c r="E108" i="3"/>
  <c r="P107" i="3"/>
  <c r="F107" i="3"/>
  <c r="E107" i="3"/>
  <c r="A107" i="3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P106" i="3"/>
  <c r="L106" i="3"/>
  <c r="F106" i="3"/>
  <c r="E106" i="3"/>
  <c r="P105" i="3"/>
  <c r="F105" i="3"/>
  <c r="E105" i="3"/>
  <c r="P104" i="3"/>
  <c r="L104" i="3"/>
  <c r="F104" i="3"/>
  <c r="E104" i="3"/>
  <c r="P103" i="3"/>
  <c r="L103" i="3"/>
  <c r="F103" i="3"/>
  <c r="E103" i="3"/>
  <c r="P102" i="3"/>
  <c r="F102" i="3"/>
  <c r="E102" i="3"/>
  <c r="P101" i="3"/>
  <c r="F101" i="3"/>
  <c r="E101" i="3"/>
  <c r="P100" i="3"/>
  <c r="F100" i="3"/>
  <c r="E100" i="3"/>
  <c r="P99" i="3"/>
  <c r="F99" i="3"/>
  <c r="E99" i="3"/>
  <c r="P98" i="3"/>
  <c r="F98" i="3"/>
  <c r="E98" i="3"/>
  <c r="P97" i="3"/>
  <c r="F97" i="3"/>
  <c r="E97" i="3"/>
  <c r="P96" i="3"/>
  <c r="F96" i="3"/>
  <c r="E96" i="3"/>
  <c r="P95" i="3"/>
  <c r="F95" i="3"/>
  <c r="E95" i="3"/>
  <c r="P94" i="3"/>
  <c r="L94" i="3"/>
  <c r="F94" i="3"/>
  <c r="E94" i="3"/>
  <c r="P93" i="3"/>
  <c r="L93" i="3"/>
  <c r="F93" i="3"/>
  <c r="E93" i="3"/>
  <c r="P92" i="3"/>
  <c r="L92" i="3"/>
  <c r="F92" i="3"/>
  <c r="E92" i="3"/>
  <c r="P91" i="3"/>
  <c r="L91" i="3"/>
  <c r="F91" i="3"/>
  <c r="E91" i="3"/>
  <c r="P90" i="3"/>
  <c r="F90" i="3"/>
  <c r="E90" i="3"/>
  <c r="P89" i="3"/>
  <c r="L89" i="3"/>
  <c r="F89" i="3"/>
  <c r="E89" i="3"/>
  <c r="P88" i="3"/>
  <c r="F88" i="3"/>
  <c r="E88" i="3"/>
  <c r="P87" i="3"/>
  <c r="F87" i="3"/>
  <c r="E87" i="3"/>
  <c r="P86" i="3"/>
  <c r="F86" i="3"/>
  <c r="E86" i="3"/>
  <c r="P85" i="3"/>
  <c r="F85" i="3"/>
  <c r="E85" i="3"/>
  <c r="P84" i="3"/>
  <c r="L84" i="3"/>
  <c r="F84" i="3"/>
  <c r="E84" i="3"/>
  <c r="P83" i="3"/>
  <c r="L83" i="3"/>
  <c r="F83" i="3"/>
  <c r="E83" i="3"/>
  <c r="P82" i="3"/>
  <c r="L82" i="3"/>
  <c r="F82" i="3"/>
  <c r="E82" i="3"/>
  <c r="P81" i="3"/>
  <c r="L81" i="3"/>
  <c r="F81" i="3"/>
  <c r="E81" i="3"/>
  <c r="A81" i="3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P80" i="3"/>
  <c r="L80" i="3"/>
  <c r="F80" i="3"/>
  <c r="E80" i="3"/>
  <c r="P79" i="3"/>
  <c r="L79" i="3"/>
  <c r="F79" i="3"/>
  <c r="E79" i="3"/>
  <c r="P78" i="3"/>
  <c r="F78" i="3"/>
  <c r="E78" i="3"/>
  <c r="P77" i="3"/>
  <c r="F77" i="3"/>
  <c r="E77" i="3"/>
  <c r="P76" i="3"/>
  <c r="F76" i="3"/>
  <c r="E76" i="3"/>
  <c r="P75" i="3"/>
  <c r="F75" i="3"/>
  <c r="E75" i="3"/>
  <c r="P74" i="3"/>
  <c r="L74" i="3"/>
  <c r="F74" i="3"/>
  <c r="E74" i="3"/>
  <c r="P73" i="3"/>
  <c r="L73" i="3"/>
  <c r="F73" i="3"/>
  <c r="E73" i="3"/>
  <c r="P72" i="3"/>
  <c r="L72" i="3"/>
  <c r="F72" i="3"/>
  <c r="E72" i="3"/>
  <c r="P71" i="3"/>
  <c r="L71" i="3"/>
  <c r="F71" i="3"/>
  <c r="E71" i="3"/>
  <c r="P70" i="3"/>
  <c r="L70" i="3"/>
  <c r="F70" i="3"/>
  <c r="E70" i="3"/>
  <c r="P69" i="3"/>
  <c r="F69" i="3"/>
  <c r="E69" i="3"/>
  <c r="P68" i="3"/>
  <c r="F68" i="3"/>
  <c r="E68" i="3"/>
  <c r="P67" i="3"/>
  <c r="F67" i="3"/>
  <c r="E67" i="3"/>
  <c r="P66" i="3"/>
  <c r="F66" i="3"/>
  <c r="E66" i="3"/>
  <c r="P65" i="3"/>
  <c r="L65" i="3"/>
  <c r="F65" i="3"/>
  <c r="E65" i="3"/>
  <c r="P64" i="3"/>
  <c r="F64" i="3"/>
  <c r="E64" i="3"/>
  <c r="P63" i="3"/>
  <c r="L63" i="3"/>
  <c r="F63" i="3"/>
  <c r="E63" i="3"/>
  <c r="P62" i="3"/>
  <c r="F62" i="3"/>
  <c r="E62" i="3"/>
  <c r="P61" i="3"/>
  <c r="F61" i="3"/>
  <c r="E61" i="3"/>
  <c r="P60" i="3"/>
  <c r="L60" i="3"/>
  <c r="F60" i="3"/>
  <c r="E60" i="3"/>
  <c r="P59" i="3"/>
  <c r="L59" i="3"/>
  <c r="F59" i="3"/>
  <c r="E59" i="3"/>
  <c r="P58" i="3"/>
  <c r="L58" i="3"/>
  <c r="F58" i="3"/>
  <c r="E58" i="3"/>
  <c r="P57" i="3"/>
  <c r="F57" i="3"/>
  <c r="E57" i="3"/>
  <c r="P56" i="3"/>
  <c r="F56" i="3"/>
  <c r="E56" i="3"/>
  <c r="P55" i="3"/>
  <c r="F55" i="3"/>
  <c r="E55" i="3"/>
  <c r="P54" i="3"/>
  <c r="L54" i="3"/>
  <c r="F54" i="3"/>
  <c r="E54" i="3"/>
  <c r="P53" i="3"/>
  <c r="L53" i="3"/>
  <c r="F53" i="3"/>
  <c r="E53" i="3"/>
  <c r="P52" i="3"/>
  <c r="L52" i="3"/>
  <c r="F52" i="3"/>
  <c r="E52" i="3"/>
  <c r="P51" i="3"/>
  <c r="L51" i="3"/>
  <c r="F51" i="3"/>
  <c r="E51" i="3"/>
  <c r="P50" i="3"/>
  <c r="L50" i="3"/>
  <c r="F50" i="3"/>
  <c r="E50" i="3"/>
  <c r="P49" i="3"/>
  <c r="L49" i="3"/>
  <c r="F49" i="3"/>
  <c r="E49" i="3"/>
  <c r="P48" i="3"/>
  <c r="L48" i="3"/>
  <c r="F48" i="3"/>
  <c r="E48" i="3"/>
  <c r="P47" i="3"/>
  <c r="F47" i="3"/>
  <c r="E47" i="3"/>
  <c r="P46" i="3"/>
  <c r="F46" i="3"/>
  <c r="E46" i="3"/>
  <c r="P45" i="3"/>
  <c r="F45" i="3"/>
  <c r="E45" i="3"/>
  <c r="P44" i="3"/>
  <c r="F44" i="3"/>
  <c r="E44" i="3"/>
  <c r="P43" i="3"/>
  <c r="L43" i="3"/>
  <c r="F43" i="3"/>
  <c r="E43" i="3"/>
  <c r="P42" i="3"/>
  <c r="L42" i="3"/>
  <c r="F42" i="3"/>
  <c r="E42" i="3"/>
  <c r="P41" i="3"/>
  <c r="L41" i="3"/>
  <c r="F41" i="3"/>
  <c r="E41" i="3"/>
  <c r="A41" i="3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P40" i="3"/>
  <c r="L40" i="3"/>
  <c r="F40" i="3"/>
  <c r="E40" i="3"/>
  <c r="P39" i="3"/>
  <c r="F39" i="3"/>
  <c r="E39" i="3"/>
  <c r="P38" i="3"/>
  <c r="F38" i="3"/>
  <c r="E38" i="3"/>
  <c r="P37" i="3"/>
  <c r="F37" i="3"/>
  <c r="E37" i="3"/>
  <c r="P36" i="3"/>
  <c r="F36" i="3"/>
  <c r="E36" i="3"/>
  <c r="P35" i="3"/>
  <c r="F35" i="3"/>
  <c r="E35" i="3"/>
  <c r="P34" i="3"/>
  <c r="L34" i="3"/>
  <c r="F34" i="3"/>
  <c r="E34" i="3"/>
  <c r="P33" i="3"/>
  <c r="L33" i="3"/>
  <c r="F33" i="3"/>
  <c r="E33" i="3"/>
  <c r="P32" i="3"/>
  <c r="F32" i="3"/>
  <c r="E32" i="3"/>
  <c r="P31" i="3"/>
  <c r="L31" i="3"/>
  <c r="F31" i="3"/>
  <c r="E31" i="3"/>
  <c r="P30" i="3"/>
  <c r="F30" i="3"/>
  <c r="E30" i="3"/>
  <c r="P29" i="3"/>
  <c r="L29" i="3"/>
  <c r="F29" i="3"/>
  <c r="E29" i="3"/>
  <c r="P28" i="3"/>
  <c r="L28" i="3"/>
  <c r="F28" i="3"/>
  <c r="E28" i="3"/>
  <c r="P27" i="3"/>
  <c r="L27" i="3"/>
  <c r="F27" i="3"/>
  <c r="E27" i="3"/>
  <c r="P26" i="3"/>
  <c r="F26" i="3"/>
  <c r="E26" i="3"/>
  <c r="P25" i="3"/>
  <c r="F25" i="3"/>
  <c r="E25" i="3"/>
  <c r="P24" i="3"/>
  <c r="F24" i="3"/>
  <c r="E24" i="3"/>
  <c r="P23" i="3"/>
  <c r="F23" i="3"/>
  <c r="E23" i="3"/>
  <c r="P22" i="3"/>
  <c r="F22" i="3"/>
  <c r="E22" i="3"/>
  <c r="P21" i="3"/>
  <c r="F21" i="3"/>
  <c r="E21" i="3"/>
  <c r="P20" i="3"/>
  <c r="F20" i="3"/>
  <c r="E20" i="3"/>
  <c r="P19" i="3"/>
  <c r="F19" i="3"/>
  <c r="E19" i="3"/>
  <c r="P18" i="3"/>
  <c r="F18" i="3"/>
  <c r="E18" i="3"/>
  <c r="P17" i="3"/>
  <c r="F17" i="3"/>
  <c r="E17" i="3"/>
  <c r="P16" i="3"/>
  <c r="F16" i="3"/>
  <c r="E16" i="3"/>
  <c r="P15" i="3"/>
  <c r="F15" i="3"/>
  <c r="E15" i="3"/>
  <c r="P14" i="3"/>
  <c r="F14" i="3"/>
  <c r="E14" i="3"/>
  <c r="P13" i="3"/>
  <c r="F13" i="3"/>
  <c r="E13" i="3"/>
  <c r="P12" i="3"/>
  <c r="F12" i="3"/>
  <c r="E12" i="3"/>
  <c r="P11" i="3"/>
  <c r="F11" i="3"/>
  <c r="E11" i="3"/>
  <c r="P10" i="3"/>
  <c r="L10" i="3"/>
  <c r="F10" i="3"/>
  <c r="E10" i="3"/>
  <c r="P9" i="3"/>
  <c r="L9" i="3"/>
  <c r="F9" i="3"/>
  <c r="E9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P8" i="3"/>
  <c r="L8" i="3"/>
  <c r="F8" i="3"/>
  <c r="E8" i="3"/>
  <c r="P6" i="5" l="1"/>
  <c r="P100" i="5"/>
  <c r="A66" i="4"/>
  <c r="A67" i="4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P6" i="4"/>
  <c r="P253" i="4" s="1"/>
  <c r="J256" i="4" s="1"/>
  <c r="J258" i="4" s="1"/>
  <c r="J260" i="4" s="1"/>
  <c r="J263" i="4" s="1"/>
  <c r="O253" i="4"/>
  <c r="A409" i="3"/>
  <c r="A410" i="3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294" i="3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293" i="3"/>
  <c r="F772" i="3"/>
  <c r="F775" i="3" s="1"/>
  <c r="F779" i="3" s="1"/>
</calcChain>
</file>

<file path=xl/sharedStrings.xml><?xml version="1.0" encoding="utf-8"?>
<sst xmlns="http://schemas.openxmlformats.org/spreadsheetml/2006/main" count="4327" uniqueCount="2132">
  <si>
    <t>MA</t>
  </si>
  <si>
    <t>SỐ XE</t>
  </si>
  <si>
    <t>B Tâm</t>
  </si>
  <si>
    <t>50H-70216</t>
  </si>
  <si>
    <t>F Y</t>
  </si>
  <si>
    <t>50H-55116</t>
  </si>
  <si>
    <t>Y THANH</t>
  </si>
  <si>
    <t>50H-69501</t>
  </si>
  <si>
    <t>Q HẢI</t>
  </si>
  <si>
    <t>50H-64316</t>
  </si>
  <si>
    <t>N QUỐC</t>
  </si>
  <si>
    <t>50H-50999</t>
  </si>
  <si>
    <t>Ư LỪA</t>
  </si>
  <si>
    <t>50E-164,61</t>
  </si>
  <si>
    <t>V VŨ</t>
  </si>
  <si>
    <t>51H -88294</t>
  </si>
  <si>
    <t>C SƠN</t>
  </si>
  <si>
    <t>50H-74619</t>
  </si>
  <si>
    <t>A LỢI</t>
  </si>
  <si>
    <t>50H 87442</t>
  </si>
  <si>
    <t>W HIẾU</t>
  </si>
  <si>
    <t>50H-64470</t>
  </si>
  <si>
    <t>M HƯNG</t>
  </si>
  <si>
    <t>50H-66445</t>
  </si>
  <si>
    <t>R THI</t>
  </si>
  <si>
    <t>50H-55161</t>
  </si>
  <si>
    <t>LONG</t>
  </si>
  <si>
    <t>50H-55443</t>
  </si>
  <si>
    <t>T ANH</t>
  </si>
  <si>
    <t>50H-54580</t>
  </si>
  <si>
    <t>O VƯƠNG</t>
  </si>
  <si>
    <t>50H-63174</t>
  </si>
  <si>
    <t>L1 THÀNH</t>
  </si>
  <si>
    <t>50E-648.73</t>
  </si>
  <si>
    <t>L2 MẾN</t>
  </si>
  <si>
    <t>50E-654.34</t>
  </si>
  <si>
    <t>L3 HOÀ</t>
  </si>
  <si>
    <t>50E-324,01</t>
  </si>
  <si>
    <t>L4 QUẠY</t>
  </si>
  <si>
    <t>50H-87055</t>
  </si>
  <si>
    <t>L5 MINH</t>
  </si>
  <si>
    <t>50E-757,74</t>
  </si>
  <si>
    <t>L6 PHƯƠNG</t>
  </si>
  <si>
    <t>50H-75206</t>
  </si>
  <si>
    <t>L7 KHANG</t>
  </si>
  <si>
    <t>50H-66347</t>
  </si>
  <si>
    <t>L8 NHANH</t>
  </si>
  <si>
    <t>50E-758,73</t>
  </si>
  <si>
    <t>L9 ÂN</t>
  </si>
  <si>
    <t>50H-55294</t>
  </si>
  <si>
    <t>L10 HOÀNG</t>
  </si>
  <si>
    <t>50H-55129</t>
  </si>
  <si>
    <t>L11 HẢI</t>
  </si>
  <si>
    <t>50H-69717</t>
  </si>
  <si>
    <t>x1</t>
  </si>
  <si>
    <t>P VŨ</t>
  </si>
  <si>
    <t>U THANH</t>
  </si>
  <si>
    <t>Y1</t>
  </si>
  <si>
    <t>I THI</t>
  </si>
  <si>
    <t>E</t>
  </si>
  <si>
    <t>Z</t>
  </si>
  <si>
    <t>E1</t>
  </si>
  <si>
    <t>A DUNG</t>
  </si>
  <si>
    <t>THUẬN</t>
  </si>
  <si>
    <t>K LUÂN</t>
  </si>
  <si>
    <t>TUYEN</t>
  </si>
  <si>
    <t>OTO 5</t>
  </si>
  <si>
    <t>NT</t>
  </si>
  <si>
    <t>NHA TRANG</t>
  </si>
  <si>
    <t>NHOA</t>
  </si>
  <si>
    <t>NINH HÒA</t>
  </si>
  <si>
    <t>CR</t>
  </si>
  <si>
    <t>CAM RANH</t>
  </si>
  <si>
    <t>CLANH</t>
  </si>
  <si>
    <t>CAO LÃNH</t>
  </si>
  <si>
    <t>LKX</t>
  </si>
  <si>
    <t>LONG KHÁNH XÁ</t>
  </si>
  <si>
    <t>LKP</t>
  </si>
  <si>
    <t xml:space="preserve">LONG KHÁNH PALLET </t>
  </si>
  <si>
    <t>AJLH</t>
  </si>
  <si>
    <t>AJ LONG HẬU</t>
  </si>
  <si>
    <t>ndfc</t>
  </si>
  <si>
    <t>Chuyển Hàng ndfc</t>
  </si>
  <si>
    <t>N6</t>
  </si>
  <si>
    <t>NDFC 6 CHUYẾN</t>
  </si>
  <si>
    <t>calo</t>
  </si>
  <si>
    <t>Chuyển hàng Calofic</t>
  </si>
  <si>
    <t>CL1</t>
  </si>
  <si>
    <t>CH Calofic 13c</t>
  </si>
  <si>
    <t>clun</t>
  </si>
  <si>
    <t>CALOFIC - UNI ( xe nhỏ )</t>
  </si>
  <si>
    <t>cluni</t>
  </si>
  <si>
    <t>CALOFIC - UNI ( xe lớn )</t>
  </si>
  <si>
    <t>CLMXL</t>
  </si>
  <si>
    <t>COOP LÊ MINH XUÂN ( XE LỚN )</t>
  </si>
  <si>
    <t>UNCLG</t>
  </si>
  <si>
    <t>UNI - CALOFIC ( CHUYỂN GẠO )</t>
  </si>
  <si>
    <t>MCC</t>
  </si>
  <si>
    <t>Chuyển hàng MCC</t>
  </si>
  <si>
    <t>M6</t>
  </si>
  <si>
    <t>MCC 6 CHUYẾN</t>
  </si>
  <si>
    <t>Q6X</t>
  </si>
  <si>
    <t>PHẠM ANH QUẬN 6 XÁ</t>
  </si>
  <si>
    <t>Q6P</t>
  </si>
  <si>
    <t>PHẠM ANH QUẬN 6 PALLET</t>
  </si>
  <si>
    <t>Q8X</t>
  </si>
  <si>
    <t>QUẬN 8 XÁ</t>
  </si>
  <si>
    <t>Q8P</t>
  </si>
  <si>
    <t>QUẬN 8 PALLET</t>
  </si>
  <si>
    <t>Q9X</t>
  </si>
  <si>
    <t>QUẬN 9 XÁ</t>
  </si>
  <si>
    <t>Q9P</t>
  </si>
  <si>
    <t>QUẬN 9 PALLET</t>
  </si>
  <si>
    <t>PMVX</t>
  </si>
  <si>
    <t>PHAN MINH VŨ-BIÊN HOÀ XÁ</t>
  </si>
  <si>
    <t>PMVP</t>
  </si>
  <si>
    <t>PHAN MINH VŨ-BIÊN HOÀ PALLET</t>
  </si>
  <si>
    <t>SIL</t>
  </si>
  <si>
    <t>SILVER NANO ĐỨC HOÀ</t>
  </si>
  <si>
    <t>UNI</t>
  </si>
  <si>
    <t>Unidepot</t>
  </si>
  <si>
    <t>SAPA</t>
  </si>
  <si>
    <t>SAPA LONG AN</t>
  </si>
  <si>
    <t>kery</t>
  </si>
  <si>
    <t>KERRY BÌNH DƯƠNG</t>
  </si>
  <si>
    <t>BR</t>
  </si>
  <si>
    <t>HỮU LINH - BÀ RỊA</t>
  </si>
  <si>
    <t>OPAS</t>
  </si>
  <si>
    <t>UG</t>
  </si>
  <si>
    <t>ÚT GIAO LONG AN</t>
  </si>
  <si>
    <t>UGN</t>
  </si>
  <si>
    <t>ÚT GIAO LONG AN XE NHỎ</t>
  </si>
  <si>
    <t>AAV</t>
  </si>
  <si>
    <t>ANH ANH VŨ</t>
  </si>
  <si>
    <t>TLX</t>
  </si>
  <si>
    <t>TUẤN LỘC Q7 XÁ</t>
  </si>
  <si>
    <t>TLP</t>
  </si>
  <si>
    <t>TUẤN LỘC Q7 PALLET</t>
  </si>
  <si>
    <t>Q9</t>
  </si>
  <si>
    <t>QUẬN 9</t>
  </si>
  <si>
    <t>Q8</t>
  </si>
  <si>
    <t>QUẬN 8</t>
  </si>
  <si>
    <t>Q7</t>
  </si>
  <si>
    <t>PHÚC LỘC PHÁT QUẬN 7</t>
  </si>
  <si>
    <t>PABT</t>
  </si>
  <si>
    <t>PHẠM ANH BÌNH TÂN</t>
  </si>
  <si>
    <t>patp</t>
  </si>
  <si>
    <t>PHẠM ANH TÂN PHÚ</t>
  </si>
  <si>
    <t>PAHM</t>
  </si>
  <si>
    <t>PHẠM ANH HÓC MÔN</t>
  </si>
  <si>
    <t>TP2</t>
  </si>
  <si>
    <t>TP2 GÒ VẤP</t>
  </si>
  <si>
    <t>NL</t>
  </si>
  <si>
    <t>NGỌC LAN L.AN</t>
  </si>
  <si>
    <t>THTDH</t>
  </si>
  <si>
    <t>TÂN HÙNG THÁI ĐỨC HOÀ</t>
  </si>
  <si>
    <t>KVBC</t>
  </si>
  <si>
    <t>KIẾN VƯƠNG BÌNH CHÁNH</t>
  </si>
  <si>
    <t>mifa</t>
  </si>
  <si>
    <t>MIFA TÂN TẠO</t>
  </si>
  <si>
    <t>mf</t>
  </si>
  <si>
    <t>MIFA TÂN TẠO XE NHỎ ( KBX )</t>
  </si>
  <si>
    <t>BP</t>
  </si>
  <si>
    <t>BÌNH PHƯỚC</t>
  </si>
  <si>
    <t>BT</t>
  </si>
  <si>
    <t>BÌNH TRÍ</t>
  </si>
  <si>
    <t>BTAY</t>
  </si>
  <si>
    <t>BÌNH TÂY</t>
  </si>
  <si>
    <t>BHCDL</t>
  </si>
  <si>
    <t>BHX CẦN ĐƯƠC XL</t>
  </si>
  <si>
    <t>MKR</t>
  </si>
  <si>
    <t>MAKARA</t>
  </si>
  <si>
    <t>TN</t>
  </si>
  <si>
    <t>TÂY NINH</t>
  </si>
  <si>
    <t>VL</t>
  </si>
  <si>
    <t>PHÔI VIỆT LONG</t>
  </si>
  <si>
    <t>SD</t>
  </si>
  <si>
    <t>SA ĐÉC</t>
  </si>
  <si>
    <t>TNOTX</t>
  </si>
  <si>
    <t>THỐT NỐT XÁ</t>
  </si>
  <si>
    <t>CD</t>
  </si>
  <si>
    <t>CHÂU ĐỐC</t>
  </si>
  <si>
    <t>HG</t>
  </si>
  <si>
    <t>HẬU GAING</t>
  </si>
  <si>
    <t>HT</t>
  </si>
  <si>
    <t>HÀ TIÊN</t>
  </si>
  <si>
    <t>PQ</t>
  </si>
  <si>
    <t>PHÚ QUỐC</t>
  </si>
  <si>
    <t>NE3</t>
  </si>
  <si>
    <t>NESTLE 3-7</t>
  </si>
  <si>
    <t>NE7</t>
  </si>
  <si>
    <t>NESTLE 7-10</t>
  </si>
  <si>
    <t>NE10</t>
  </si>
  <si>
    <t>NESTLE &gt;10</t>
  </si>
  <si>
    <t>NDNA</t>
  </si>
  <si>
    <t>NDFC - NAIC BẾN LỨC</t>
  </si>
  <si>
    <t>NAUN</t>
  </si>
  <si>
    <t>NAIC -UNI</t>
  </si>
  <si>
    <t>nta</t>
  </si>
  <si>
    <t>NHẬT TRÚC ANH TRẢNG BOM</t>
  </si>
  <si>
    <t>TCLA</t>
  </si>
  <si>
    <t>TRUE CARE LONG AN</t>
  </si>
  <si>
    <t>QXT</t>
  </si>
  <si>
    <t>QUANG XUÂN TRƯỜNG P.GIÁO</t>
  </si>
  <si>
    <t>GHTGP</t>
  </si>
  <si>
    <t>GIA HOÀNG TIỀN GIANG PALLET</t>
  </si>
  <si>
    <t>GHTGX</t>
  </si>
  <si>
    <t>GIA HOÀNG TIỀN GIANG XÁ</t>
  </si>
  <si>
    <t>KVVL</t>
  </si>
  <si>
    <t>KIÊN VƯƠNG VĨNH LONG</t>
  </si>
  <si>
    <t>LXUN</t>
  </si>
  <si>
    <t>LONG XUYÊN - UNI</t>
  </si>
  <si>
    <t>TTHOA</t>
  </si>
  <si>
    <t>THẮNG THOA PHƯƠNG LÂM</t>
  </si>
  <si>
    <t>WIPRO</t>
  </si>
  <si>
    <t>WIPRO THUẬN AN BD</t>
  </si>
  <si>
    <t>vtpl</t>
  </si>
  <si>
    <t>VŨNG TÀU PALLET</t>
  </si>
  <si>
    <t>AFST</t>
  </si>
  <si>
    <t>ANFOOD SÓNG THẦN</t>
  </si>
  <si>
    <t>HMPHM</t>
  </si>
  <si>
    <t>HOÀNG MINH PHÁT HÓC MÔN</t>
  </si>
  <si>
    <t>hcvml</t>
  </si>
  <si>
    <t>HÓA CHẤT VIỆT MỸ XE LỚN</t>
  </si>
  <si>
    <t>MXD</t>
  </si>
  <si>
    <t>MAXIDI ĐỒNG NAI</t>
  </si>
  <si>
    <t>HCSV</t>
  </si>
  <si>
    <t>HOÁ CHẤT SEN VIỆT BÊN CÁT XE LỚN</t>
  </si>
  <si>
    <t>HCSVN</t>
  </si>
  <si>
    <t>HOÁ CHẤT SEN VIỆT ĐÔNG NAI XE NHỎ</t>
  </si>
  <si>
    <t>HLP</t>
  </si>
  <si>
    <t>HƯNG LONG PHÁT</t>
  </si>
  <si>
    <t>xnkttv</t>
  </si>
  <si>
    <t>XUẤT NHẬP KHẢU T.T.V</t>
  </si>
  <si>
    <t>HHLXP</t>
  </si>
  <si>
    <t>HIỆP HƯNG LONG XUYÊN PALLET</t>
  </si>
  <si>
    <t>VNXL</t>
  </si>
  <si>
    <t>VỊ NGỌT HAPPY XE LỚN</t>
  </si>
  <si>
    <t>K50L</t>
  </si>
  <si>
    <t>METRO KHO 50 XE LỚN</t>
  </si>
  <si>
    <t>JOXL</t>
  </si>
  <si>
    <t>JOLIBEE XE LỚN</t>
  </si>
  <si>
    <t>LMKRL</t>
  </si>
  <si>
    <t>LÀNG MAKARA XE LỚN</t>
  </si>
  <si>
    <t>phcc</t>
  </si>
  <si>
    <t>PHÚC HẢO CỦ CHI</t>
  </si>
  <si>
    <t>small</t>
  </si>
  <si>
    <t>SMALLFORTUNE</t>
  </si>
  <si>
    <t>CTMK</t>
  </si>
  <si>
    <t>CÔNG TY MEKONG</t>
  </si>
  <si>
    <t>VNA</t>
  </si>
  <si>
    <t>VINH NAM ANH</t>
  </si>
  <si>
    <t>AJ3</t>
  </si>
  <si>
    <t>AJNOMOTO 3-7</t>
  </si>
  <si>
    <t>AJ7</t>
  </si>
  <si>
    <t>AJNOMOTO 7-10</t>
  </si>
  <si>
    <t>AJ10</t>
  </si>
  <si>
    <t>AJNOMOTO &gt;10</t>
  </si>
  <si>
    <t>AH</t>
  </si>
  <si>
    <t>AH THUẬN AN</t>
  </si>
  <si>
    <t>AMI</t>
  </si>
  <si>
    <t>AMIGO ĐỨC HOÀ ( K BX )</t>
  </si>
  <si>
    <t>KHÔNG BỐC XẾP</t>
  </si>
  <si>
    <t>AJNO</t>
  </si>
  <si>
    <t>AJNOMOTO L.THÀNH</t>
  </si>
  <si>
    <t>ABC</t>
  </si>
  <si>
    <t>ABC BACKERRY Q6</t>
  </si>
  <si>
    <t>aa</t>
  </si>
  <si>
    <t>Á ÂU BT</t>
  </si>
  <si>
    <t>ACE</t>
  </si>
  <si>
    <t>ACECOOK TÂN PHÚ</t>
  </si>
  <si>
    <t>AT</t>
  </si>
  <si>
    <t>ÂN THÁI LTK Q10</t>
  </si>
  <si>
    <t>AG</t>
  </si>
  <si>
    <t>AGIFISH TÂN BÌNH</t>
  </si>
  <si>
    <t>agr</t>
  </si>
  <si>
    <t xml:space="preserve">Agrex SG </t>
  </si>
  <si>
    <t>APIS</t>
  </si>
  <si>
    <t>APIS ( KBX )</t>
  </si>
  <si>
    <t>API</t>
  </si>
  <si>
    <t>APIS TRÃ TANK ( KBX )</t>
  </si>
  <si>
    <t>abY</t>
  </si>
  <si>
    <t>ABY SHOP GÒ VẤP</t>
  </si>
  <si>
    <t>ANBS</t>
  </si>
  <si>
    <t>ANBS TÂN PHÚ</t>
  </si>
  <si>
    <t>ASIA</t>
  </si>
  <si>
    <t>ASIASHINE</t>
  </si>
  <si>
    <t>AF</t>
  </si>
  <si>
    <t>ANFOOD Q12 ( K BX )</t>
  </si>
  <si>
    <t>AMER</t>
  </si>
  <si>
    <t>AMERICA HERITAGE</t>
  </si>
  <si>
    <t>AVK</t>
  </si>
  <si>
    <t>AVAKID</t>
  </si>
  <si>
    <t>BIVY</t>
  </si>
  <si>
    <t>BIVY BÌNH CHÁNH</t>
  </si>
  <si>
    <t>BIBI</t>
  </si>
  <si>
    <r>
      <rPr>
        <sz val="10"/>
        <color theme="1"/>
        <rFont val="&quot;Times New Roman&quot;, serif"/>
      </rPr>
      <t xml:space="preserve">BIBICA MIỀN TÂY ( KBX ) </t>
    </r>
    <r>
      <rPr>
        <b/>
        <sz val="10"/>
        <color theme="1"/>
        <rFont val="&quot;Times New Roman&quot;, serif"/>
      </rPr>
      <t>1</t>
    </r>
  </si>
  <si>
    <t>btay</t>
  </si>
  <si>
    <t>Bình Tây - Quận 7 ( KBX )</t>
  </si>
  <si>
    <t>BLONG</t>
  </si>
  <si>
    <t>BẢO LONG</t>
  </si>
  <si>
    <t>BBBH</t>
  </si>
  <si>
    <r>
      <rPr>
        <sz val="10"/>
        <color theme="1"/>
        <rFont val="&quot;Times New Roman&quot;, serif"/>
      </rPr>
      <t xml:space="preserve">BIBICA BIÊN HOÀ ( KBX ) </t>
    </r>
    <r>
      <rPr>
        <b/>
        <sz val="10"/>
        <color theme="1"/>
        <rFont val="&quot;Times New Roman&quot;, serif"/>
      </rPr>
      <t>1</t>
    </r>
  </si>
  <si>
    <t>BF</t>
  </si>
  <si>
    <t>BEST FOOD</t>
  </si>
  <si>
    <t>BTRI</t>
  </si>
  <si>
    <t>BÌNH TRÍ-LONG AN</t>
  </si>
  <si>
    <t>IFH</t>
  </si>
  <si>
    <t>IFH TÂN UYÊN</t>
  </si>
  <si>
    <t>BV</t>
  </si>
  <si>
    <t>BÁNH VÀNG HIỆP PHƯỚC</t>
  </si>
  <si>
    <t>CÓ BX</t>
  </si>
  <si>
    <t>BCD</t>
  </si>
  <si>
    <r>
      <rPr>
        <sz val="10"/>
        <color theme="1"/>
        <rFont val="&quot;Times New Roman&quot;, serif"/>
      </rPr>
      <t xml:space="preserve">BÉ CẦN ĐƯỚC ( K BX ) DI AN </t>
    </r>
    <r>
      <rPr>
        <b/>
        <sz val="10"/>
        <color theme="1"/>
        <rFont val="&quot;Times New Roman&quot;, serif"/>
      </rPr>
      <t>1</t>
    </r>
  </si>
  <si>
    <t>BDBM</t>
  </si>
  <si>
    <r>
      <rPr>
        <sz val="10"/>
        <color theme="1"/>
        <rFont val="&quot;Times New Roman&quot;, serif"/>
      </rPr>
      <t xml:space="preserve">BINH DƯƠNG BRANCH MAXIDI ( KBX ) </t>
    </r>
    <r>
      <rPr>
        <b/>
        <sz val="10"/>
        <color theme="1"/>
        <rFont val="&quot;Times New Roman&quot;, serif"/>
      </rPr>
      <t>1</t>
    </r>
  </si>
  <si>
    <t>cnhl</t>
  </si>
  <si>
    <t>CÁ NGỪ HẠ LONG</t>
  </si>
  <si>
    <t>CTT</t>
  </si>
  <si>
    <t>CHÂU TRƯỜNG THỊNH</t>
  </si>
  <si>
    <t>CH207</t>
  </si>
  <si>
    <t>CH 207</t>
  </si>
  <si>
    <t>CC</t>
  </si>
  <si>
    <t>CON CƯNG BÌNH DƯƠNG</t>
  </si>
  <si>
    <t>CP</t>
  </si>
  <si>
    <t>CỔ PHẦN TRANG NHÀ BÈ</t>
  </si>
  <si>
    <t>CH</t>
  </si>
  <si>
    <t>CÁT HẢI LONG HẬU</t>
  </si>
  <si>
    <t>casa</t>
  </si>
  <si>
    <t>Casabella - Q7</t>
  </si>
  <si>
    <t>CLm</t>
  </si>
  <si>
    <t>CHOLIMEX VĨNH LỘC ( K BX )</t>
  </si>
  <si>
    <t>clmla</t>
  </si>
  <si>
    <t>CHOLIMEX LONG AN ( K BX )</t>
  </si>
  <si>
    <t>clmbc</t>
  </si>
  <si>
    <t>CHOLIMEX BINH CHÁNH ( KBX )</t>
  </si>
  <si>
    <t>CHCL</t>
  </si>
  <si>
    <t>CẨM HƯƠNG CHƠ LỚN ( K BX )</t>
  </si>
  <si>
    <t>CMC</t>
  </si>
  <si>
    <t>CHERMICAL ĐỨC HOÀ</t>
  </si>
  <si>
    <t>CFPV</t>
  </si>
  <si>
    <t>CAFE PHƯƠNG VY TÂN UYÊN</t>
  </si>
  <si>
    <t>clvlh</t>
  </si>
  <si>
    <t>CLV LONG HẬU ( K BX )</t>
  </si>
  <si>
    <t>CTYS</t>
  </si>
  <si>
    <t>CTY SUPREME ( KBX )</t>
  </si>
  <si>
    <t>CTSP</t>
  </si>
  <si>
    <t>CTY SAPA</t>
  </si>
  <si>
    <t>CKSCL</t>
  </si>
  <si>
    <t>CKS - CÁI LÂN</t>
  </si>
  <si>
    <t>CKSQ8</t>
  </si>
  <si>
    <t>CKS - QUẬN 8</t>
  </si>
  <si>
    <t>TLV</t>
  </si>
  <si>
    <t>TÂN LÚA VÀNG ( KBX )</t>
  </si>
  <si>
    <t>3KSH</t>
  </si>
  <si>
    <t>3KS H.T.PHÁT ( K BX )</t>
  </si>
  <si>
    <t>3ksd</t>
  </si>
  <si>
    <t>3KS ĐỨC HOÀ</t>
  </si>
  <si>
    <t>3KSDA</t>
  </si>
  <si>
    <t>3ks DĨ AN ( K BX )</t>
  </si>
  <si>
    <t>3KSTP</t>
  </si>
  <si>
    <t>3KS TÂN PHÚ ( K BX )</t>
  </si>
  <si>
    <t>DMH</t>
  </si>
  <si>
    <t>ĐẠT MẠNH HÙNG LONG THÀNH</t>
  </si>
  <si>
    <t>DT</t>
  </si>
  <si>
    <t>ĐỨC THANH</t>
  </si>
  <si>
    <t>DDC</t>
  </si>
  <si>
    <t>DƯƠNG DƯƠNG CHÂU</t>
  </si>
  <si>
    <t>dhg</t>
  </si>
  <si>
    <t>Dược Hậu Giang</t>
  </si>
  <si>
    <t>dary</t>
  </si>
  <si>
    <t>DARY NHÀ BÈ</t>
  </si>
  <si>
    <t>DPQT</t>
  </si>
  <si>
    <t>DƯỢC PHẨM QUỐC TẾ ( KBX )</t>
  </si>
  <si>
    <t>dpd</t>
  </si>
  <si>
    <t>Dược Phương Đông</t>
  </si>
  <si>
    <t>dpn</t>
  </si>
  <si>
    <t>Dược Phương Nam</t>
  </si>
  <si>
    <t>DPL</t>
  </si>
  <si>
    <t>DƯỢC PHƯƠNG LILIUM</t>
  </si>
  <si>
    <t>DUSA</t>
  </si>
  <si>
    <t>DƯỢC PHẨM USA-NIC</t>
  </si>
  <si>
    <t>DN</t>
  </si>
  <si>
    <t>ĐÔNG NAM</t>
  </si>
  <si>
    <t>DL</t>
  </si>
  <si>
    <t>DUY LINH</t>
  </si>
  <si>
    <t>DDT</t>
  </si>
  <si>
    <t>ĐẠI ĐIỀN TÂM -C.CHI</t>
  </si>
  <si>
    <t>DK</t>
  </si>
  <si>
    <t>D&amp;K</t>
  </si>
  <si>
    <t>DNG</t>
  </si>
  <si>
    <t>ĐẠT NGỌC</t>
  </si>
  <si>
    <t>DLVN</t>
  </si>
  <si>
    <t>ĐÔNG LIM VINA L.THÀNH ( KBX )</t>
  </si>
  <si>
    <t>K BỐC XẾP</t>
  </si>
  <si>
    <t>DTO</t>
  </si>
  <si>
    <t xml:space="preserve">ĐỨC TỎ </t>
  </si>
  <si>
    <t>dpTD</t>
  </si>
  <si>
    <t>D,P THỦ ĐỨC ( K BX)</t>
  </si>
  <si>
    <t>ĐTMTX</t>
  </si>
  <si>
    <t>ĐÔNG THANH MỸ THO XÁ</t>
  </si>
  <si>
    <t>ĐTMTP</t>
  </si>
  <si>
    <t>ĐÔNG THANH MỸ THO PALLET</t>
  </si>
  <si>
    <t>ECOP</t>
  </si>
  <si>
    <t>EARTH COOP</t>
  </si>
  <si>
    <t>DHT</t>
  </si>
  <si>
    <t>ĐẠI HƯNG THỊNH BD ( KBX )</t>
  </si>
  <si>
    <t>DQ</t>
  </si>
  <si>
    <t>ĐÔNG QUÂN</t>
  </si>
  <si>
    <t>DQT</t>
  </si>
  <si>
    <t>ĐẠI QUANG THÀNH</t>
  </si>
  <si>
    <t>mt</t>
  </si>
  <si>
    <t>Minh Tâm ( H.môn)</t>
  </si>
  <si>
    <t>MILA</t>
  </si>
  <si>
    <t>MILANO</t>
  </si>
  <si>
    <t>MP</t>
  </si>
  <si>
    <t>MINH PHONG Q.12</t>
  </si>
  <si>
    <t>MKH</t>
  </si>
  <si>
    <t>MÃ KIM HUỆ</t>
  </si>
  <si>
    <t>MASAN</t>
  </si>
  <si>
    <t>MASAN B.DƯƠNG</t>
  </si>
  <si>
    <t>MB</t>
  </si>
  <si>
    <t>MEBIPHAR</t>
  </si>
  <si>
    <t/>
  </si>
  <si>
    <t>mnvt</t>
  </si>
  <si>
    <t>MN VĨNH THẠNH</t>
  </si>
  <si>
    <t>MARI</t>
  </si>
  <si>
    <t>MARICO</t>
  </si>
  <si>
    <t>MIA</t>
  </si>
  <si>
    <t>MỸ PHẨM MIA Q6</t>
  </si>
  <si>
    <t>MK</t>
  </si>
  <si>
    <t>MINH KHANG HM(K BX)</t>
  </si>
  <si>
    <t>MPSG</t>
  </si>
  <si>
    <t>MỸ PHẨM SG Q2 (K BX )</t>
  </si>
  <si>
    <t>MGVP</t>
  </si>
  <si>
    <t>MEGA VIỆT PHÁT L.HẬU ( K BX )</t>
  </si>
  <si>
    <t>MPNT</t>
  </si>
  <si>
    <t>MỸ PHẨM LG VINA ( KBX )</t>
  </si>
  <si>
    <t>MPLH</t>
  </si>
  <si>
    <t>MỸ PHẨM LAN HẢO ( KBX )</t>
  </si>
  <si>
    <t>NAICNDN</t>
  </si>
  <si>
    <t>NDFC - NAIC BẾN LỨC XE NHỎ</t>
  </si>
  <si>
    <t>NTAN</t>
  </si>
  <si>
    <t>NHỰT TÂN</t>
  </si>
  <si>
    <t>NIC</t>
  </si>
  <si>
    <t>NIC PHARMA</t>
  </si>
  <si>
    <t>NP</t>
  </si>
  <si>
    <t>NAM PHƯƠNG CU CHI ( KBX )</t>
  </si>
  <si>
    <t>NH</t>
  </si>
  <si>
    <t>N.HƯNG Q.6</t>
  </si>
  <si>
    <t>NNH</t>
  </si>
  <si>
    <t>N.N.HƯNG</t>
  </si>
  <si>
    <t>NTRU</t>
  </si>
  <si>
    <t>NGUYỄN TRƯƠNG</t>
  </si>
  <si>
    <t>NGÂN TRANG Q.5</t>
  </si>
  <si>
    <t>NT12</t>
  </si>
  <si>
    <t>NGÂN TRANG Q.12</t>
  </si>
  <si>
    <t>NN</t>
  </si>
  <si>
    <t>NGÀ NĂM</t>
  </si>
  <si>
    <t>NV</t>
  </si>
  <si>
    <t>NAM VIỆT ĐỖ ( K BX )</t>
  </si>
  <si>
    <t>NVT</t>
  </si>
  <si>
    <t>N.V.ĐỖ TL10</t>
  </si>
  <si>
    <t>NVH</t>
  </si>
  <si>
    <t>NAM VIỆT ĐỖ H.MÔN ( K BX)</t>
  </si>
  <si>
    <t>NDFC</t>
  </si>
  <si>
    <t>TRUNG CHUYỂN</t>
  </si>
  <si>
    <t>nth</t>
  </si>
  <si>
    <t>Như Thùy</t>
  </si>
  <si>
    <t>NGUYỄN NGỌC THUỲ</t>
  </si>
  <si>
    <t>nvhau</t>
  </si>
  <si>
    <t>NGUYỄN VĂN HẬU</t>
  </si>
  <si>
    <t>NSG</t>
  </si>
  <si>
    <t>NAM SÀI GÒN</t>
  </si>
  <si>
    <t>NNY</t>
  </si>
  <si>
    <t>NGỌC NHƯ Ý</t>
  </si>
  <si>
    <t>NUTRI</t>
  </si>
  <si>
    <t>NUTRIDIAMON- BH</t>
  </si>
  <si>
    <t>UNIBEN</t>
  </si>
  <si>
    <t>UNIBEN TÂN UYÊN</t>
  </si>
  <si>
    <t>NS</t>
  </si>
  <si>
    <t>NISSIN TÂN UYÊN ( K BX)</t>
  </si>
  <si>
    <t>NHDT</t>
  </si>
  <si>
    <t>NAM HUY Đ.THÁP CỦ CHI</t>
  </si>
  <si>
    <t>NHUY</t>
  </si>
  <si>
    <t>NAM HUY Đ.THÁP ( KBX )</t>
  </si>
  <si>
    <t>NUP</t>
  </si>
  <si>
    <t>NUPLEX BIÊN HOÀ</t>
  </si>
  <si>
    <t>NES</t>
  </si>
  <si>
    <t>NESTLE LONG BÌNH ( KBX)</t>
  </si>
  <si>
    <t>NET</t>
  </si>
  <si>
    <t>NET LONG THÀNH (K BX )</t>
  </si>
  <si>
    <t>NUTI</t>
  </si>
  <si>
    <t>NUTIFOOD ( K BX )</t>
  </si>
  <si>
    <t>NTBC</t>
  </si>
  <si>
    <t>NUTRIBIZ BẾN CÁT ( K BX )</t>
  </si>
  <si>
    <t>NDA</t>
  </si>
  <si>
    <t>NEWL</t>
  </si>
  <si>
    <t>NEW LIFE ( KBX )</t>
  </si>
  <si>
    <t>NPHU</t>
  </si>
  <si>
    <t>NGHIỆP PHÚ ( KBX )</t>
  </si>
  <si>
    <t>NLANG</t>
  </si>
  <si>
    <t>NGỌC LANG</t>
  </si>
  <si>
    <t>NHUONG</t>
  </si>
  <si>
    <t>NHẤT HƯƠNG</t>
  </si>
  <si>
    <t>NNM</t>
  </si>
  <si>
    <t>NHỰA NGỌC MINH ( KBX)</t>
  </si>
  <si>
    <t>NEWC</t>
  </si>
  <si>
    <t>NEWCO 2</t>
  </si>
  <si>
    <t>PNL</t>
  </si>
  <si>
    <t>PHẠM NGUYÊN L.AN</t>
  </si>
  <si>
    <t>PN</t>
  </si>
  <si>
    <t>PHẠM NGUYÊN B.TÂN</t>
  </si>
  <si>
    <t>PP</t>
  </si>
  <si>
    <t>PHONG PHÚ -BC</t>
  </si>
  <si>
    <t>PT</t>
  </si>
  <si>
    <t>PHÚC THỊNH VINA ( K BX )</t>
  </si>
  <si>
    <t>PNAM</t>
  </si>
  <si>
    <t>PHƯƠNG NAM ( K BX)</t>
  </si>
  <si>
    <t>pd</t>
  </si>
  <si>
    <t>PHƯƠNG ĐÔNG</t>
  </si>
  <si>
    <t>papa</t>
  </si>
  <si>
    <t>Paparotti Tân Phú</t>
  </si>
  <si>
    <t>PHAM</t>
  </si>
  <si>
    <t>PHẠM ASSET ( K BX )</t>
  </si>
  <si>
    <t>PANH</t>
  </si>
  <si>
    <t>PHÚC ANH - B.THẠNH</t>
  </si>
  <si>
    <t>PVY</t>
  </si>
  <si>
    <t>Phương Vy- Bình Thạnh</t>
  </si>
  <si>
    <t>pviet</t>
  </si>
  <si>
    <t>PHỞ VIỆT - B.DƯƠNG</t>
  </si>
  <si>
    <t>pe</t>
  </si>
  <si>
    <t>PERPETTI</t>
  </si>
  <si>
    <t>pv</t>
  </si>
  <si>
    <t>PHONG VÂN ( K BX )</t>
  </si>
  <si>
    <t>PVG</t>
  </si>
  <si>
    <t>PHONG VÂN - GÒ VẤP ( K BX )</t>
  </si>
  <si>
    <t>PY</t>
  </si>
  <si>
    <t>PHƯƠNG YẾN</t>
  </si>
  <si>
    <t>PHV</t>
  </si>
  <si>
    <t>PHÚ HOÀNG VINH</t>
  </si>
  <si>
    <t>P&amp;T</t>
  </si>
  <si>
    <t>P&amp;T THUẬN AN</t>
  </si>
  <si>
    <t>PAA</t>
  </si>
  <si>
    <t>PHÁT AN AN-C.GIUỘC</t>
  </si>
  <si>
    <t>POYUN</t>
  </si>
  <si>
    <t>POYUN TÂN UYÊN</t>
  </si>
  <si>
    <t>ppm</t>
  </si>
  <si>
    <t>PHẠM PHAN MES CỦ CHI ( K BX )</t>
  </si>
  <si>
    <t>PPLA</t>
  </si>
  <si>
    <t>PHẠM PHAN LONG AN</t>
  </si>
  <si>
    <t>PYtb</t>
  </si>
  <si>
    <t>POYUN TRẢNG BOM</t>
  </si>
  <si>
    <t>P&amp;V</t>
  </si>
  <si>
    <t>P&amp;V GÒ VẤP</t>
  </si>
  <si>
    <t>PPL</t>
  </si>
  <si>
    <t>PHẠM PHAN SLES Đ.HOÀ ( K BX)</t>
  </si>
  <si>
    <t>PTHAI</t>
  </si>
  <si>
    <t>PHÚ THÁI BD ( K BX )</t>
  </si>
  <si>
    <t>PMVN</t>
  </si>
  <si>
    <t>PHAN MINH VŨ XE NHỎ XÁ</t>
  </si>
  <si>
    <t>PC</t>
  </si>
  <si>
    <t>PHƯỚC CƯỜNG FL</t>
  </si>
  <si>
    <t>PPTD</t>
  </si>
  <si>
    <t>PHẠM PHAN MES THỦ ĐỨC ( KBX )</t>
  </si>
  <si>
    <t>lthp</t>
  </si>
  <si>
    <t>LỘC THIÊN HƯNG PHÁT</t>
  </si>
  <si>
    <t>ltd</t>
  </si>
  <si>
    <t>Lê Trọng Đạt</t>
  </si>
  <si>
    <t>lc</t>
  </si>
  <si>
    <t>Lacos - Long An</t>
  </si>
  <si>
    <t>LG</t>
  </si>
  <si>
    <t>LÊ GIA THỦ ĐỨC</t>
  </si>
  <si>
    <t>LBD</t>
  </si>
  <si>
    <t>LÂM BÌNH DƯƠNG</t>
  </si>
  <si>
    <t>lww</t>
  </si>
  <si>
    <t>Liwayway</t>
  </si>
  <si>
    <t>LV</t>
  </si>
  <si>
    <t>LÃ VÕ</t>
  </si>
  <si>
    <t>LTAN</t>
  </si>
  <si>
    <t>LAM TÂN T.ĐỨC ( K BX)</t>
  </si>
  <si>
    <t>trương việt út</t>
  </si>
  <si>
    <t>LHT</t>
  </si>
  <si>
    <t>LÊ HUY THIÊN -BH</t>
  </si>
  <si>
    <t>trường nét lay</t>
  </si>
  <si>
    <t>LONA</t>
  </si>
  <si>
    <t>LONA TD Q6</t>
  </si>
  <si>
    <t>lotha</t>
  </si>
  <si>
    <t>LOTHAMILK</t>
  </si>
  <si>
    <t>LTMP</t>
  </si>
  <si>
    <t>LOTTE MỸ  PHƯỚC</t>
  </si>
  <si>
    <t>LGLA</t>
  </si>
  <si>
    <t>CT LG L.AN ( K BX )</t>
  </si>
  <si>
    <t>lnguyen</t>
  </si>
  <si>
    <t>LIÊN NGUYỄN B.CHÁNH</t>
  </si>
  <si>
    <t>LILIUM</t>
  </si>
  <si>
    <t>LILIUM CẦN GIUỘC</t>
  </si>
  <si>
    <t>lcf</t>
  </si>
  <si>
    <t>LC FOOD ( KBX )</t>
  </si>
  <si>
    <t>LCC</t>
  </si>
  <si>
    <t>LACHENCO</t>
  </si>
  <si>
    <t>LMKR</t>
  </si>
  <si>
    <t>LÀNG MAKARA ( KBX )</t>
  </si>
  <si>
    <t>kp</t>
  </si>
  <si>
    <t>Khang Phát</t>
  </si>
  <si>
    <t>khc</t>
  </si>
  <si>
    <t>KIM HẢI CHÂU</t>
  </si>
  <si>
    <t>KM</t>
  </si>
  <si>
    <t>KIM MÃ</t>
  </si>
  <si>
    <t>KFC</t>
  </si>
  <si>
    <t>KFC GÒ VẤP ( K BX )</t>
  </si>
  <si>
    <t>KF</t>
  </si>
  <si>
    <t>KING FOOD</t>
  </si>
  <si>
    <t>KV</t>
  </si>
  <si>
    <t>KIẾN VƯƠNG ( KBX )</t>
  </si>
  <si>
    <t>KR</t>
  </si>
  <si>
    <t>KERRY THUẬN AN</t>
  </si>
  <si>
    <t>KITA</t>
  </si>
  <si>
    <t>KITAMURA Q12</t>
  </si>
  <si>
    <t>KDMK</t>
  </si>
  <si>
    <t>KÉO DÁN MINH KHANG H.MÔN ( KBX )</t>
  </si>
  <si>
    <t>KVU</t>
  </si>
  <si>
    <t>KỲ VŨ ( K BX )</t>
  </si>
  <si>
    <t>KIDO</t>
  </si>
  <si>
    <t xml:space="preserve">KIDO CỦ CHI </t>
  </si>
  <si>
    <t>KD</t>
  </si>
  <si>
    <t>KINH ĐÔ</t>
  </si>
  <si>
    <t>KOP</t>
  </si>
  <si>
    <t>KOP Q9 ( K BX )</t>
  </si>
  <si>
    <t>ks</t>
  </si>
  <si>
    <t>KUSAN Q9 ( K BX )</t>
  </si>
  <si>
    <t>kopdh</t>
  </si>
  <si>
    <t>KOP ĐỨC HÒA ( K BX )</t>
  </si>
  <si>
    <t>KRE</t>
  </si>
  <si>
    <t>KREATORS ( KBX )</t>
  </si>
  <si>
    <t>GTT</t>
  </si>
  <si>
    <t>GIÀY THÁI THỊNH ( kbx )</t>
  </si>
  <si>
    <t>GST</t>
  </si>
  <si>
    <t>GA SÓNG THẦN</t>
  </si>
  <si>
    <t>GB</t>
  </si>
  <si>
    <t>PHÂN BÓN GIA BẢO</t>
  </si>
  <si>
    <t>GK</t>
  </si>
  <si>
    <t>GIA KHANG</t>
  </si>
  <si>
    <t>GKP</t>
  </si>
  <si>
    <t>GIA KHANG PHÁT</t>
  </si>
  <si>
    <t>GN</t>
  </si>
  <si>
    <t>GN FOOD LONG HẬU</t>
  </si>
  <si>
    <t>gp</t>
  </si>
  <si>
    <t>Grand Place</t>
  </si>
  <si>
    <t>GD</t>
  </si>
  <si>
    <t>GOLD D</t>
  </si>
  <si>
    <t>GV</t>
  </si>
  <si>
    <t>GOLD VIỆT B.CHÁNH ( K BX)</t>
  </si>
  <si>
    <t>GOLS</t>
  </si>
  <si>
    <t>GOLDEN SWORD</t>
  </si>
  <si>
    <t>AGRO</t>
  </si>
  <si>
    <t>AGRONALIS</t>
  </si>
  <si>
    <t>QMK</t>
  </si>
  <si>
    <t>QUANG MINH KHANG</t>
  </si>
  <si>
    <t>TANT</t>
  </si>
  <si>
    <t>TẤN TƯỜNG</t>
  </si>
  <si>
    <t>TMH</t>
  </si>
  <si>
    <t>TRẦN MỸ HƯƠNG</t>
  </si>
  <si>
    <t>TPHAT</t>
  </si>
  <si>
    <t>THIỆN PHÁT</t>
  </si>
  <si>
    <t>TPXT</t>
  </si>
  <si>
    <t>TP XU THẾ</t>
  </si>
  <si>
    <t>THAO</t>
  </si>
  <si>
    <t>THẢO NGUYÊN BT</t>
  </si>
  <si>
    <t>THT</t>
  </si>
  <si>
    <t>TÂN HÙNG THÁI</t>
  </si>
  <si>
    <t>TT</t>
  </si>
  <si>
    <t>THƯ TRÚC</t>
  </si>
  <si>
    <t>TP</t>
  </si>
  <si>
    <t>THỌ PHÁT</t>
  </si>
  <si>
    <t>tx</t>
  </si>
  <si>
    <t>THANH XUÂN</t>
  </si>
  <si>
    <t>tnh</t>
  </si>
  <si>
    <t>Tân Nhất Hương</t>
  </si>
  <si>
    <t>THEW</t>
  </si>
  <si>
    <t>THEWAY - B.TÂN</t>
  </si>
  <si>
    <t>TC</t>
  </si>
  <si>
    <t>TRUE CARE</t>
  </si>
  <si>
    <t>TG</t>
  </si>
  <si>
    <t>THÁI GIANG</t>
  </si>
  <si>
    <t>tbl</t>
  </si>
  <si>
    <t>TBL-Q12</t>
  </si>
  <si>
    <t>tbltd</t>
  </si>
  <si>
    <t>TBL-THỦ ĐỨC</t>
  </si>
  <si>
    <t>TTC</t>
  </si>
  <si>
    <t>TÂN TOÀN CẦU</t>
  </si>
  <si>
    <t>TD</t>
  </si>
  <si>
    <t>TRÍ ĐỨC CỦ CHI</t>
  </si>
  <si>
    <t>TMSB</t>
  </si>
  <si>
    <t>TM SB Q6</t>
  </si>
  <si>
    <t>trop</t>
  </si>
  <si>
    <t>TROPICAL</t>
  </si>
  <si>
    <t>TM</t>
  </si>
  <si>
    <t>THANH MINH Q6</t>
  </si>
  <si>
    <t>TOPF</t>
  </si>
  <si>
    <t>TOPFOOD</t>
  </si>
  <si>
    <t>TBP</t>
  </si>
  <si>
    <t>TÂN BẢO PHÁT</t>
  </si>
  <si>
    <t>THỰC PHẨM MIA-Q6</t>
  </si>
  <si>
    <t>TV</t>
  </si>
  <si>
    <t>CT TÙNG VIỆT NHƠN TRẠCH (KBX)</t>
  </si>
  <si>
    <t>TLLT</t>
  </si>
  <si>
    <t>T.LONG L.THÀNH (K BX)</t>
  </si>
  <si>
    <t>TILI</t>
  </si>
  <si>
    <t>TILICO TÊN LỬA</t>
  </si>
  <si>
    <t>TTP</t>
  </si>
  <si>
    <t>THÀNH THÀNH PHÁT B.CHÁNH ( K BX)</t>
  </si>
  <si>
    <t>TAB</t>
  </si>
  <si>
    <t>TA BAKER Q,12</t>
  </si>
  <si>
    <t>TPLS</t>
  </si>
  <si>
    <t>THỰC PHẨM LONG SƠN ( KBX )</t>
  </si>
  <si>
    <t>TNF</t>
  </si>
  <si>
    <t>TOÀN NGUYỄN FOOD</t>
  </si>
  <si>
    <t>TSINH</t>
  </si>
  <si>
    <t>TRƯỜNG SINH ( KBX )</t>
  </si>
  <si>
    <t>HDQT</t>
  </si>
  <si>
    <t>HOÁ DƯỢC QUỐC TẾ SG ( KBX )</t>
  </si>
  <si>
    <t>HCVM</t>
  </si>
  <si>
    <t>HOÁ CHẤT VIỆT MỸ</t>
  </si>
  <si>
    <t>HCVML</t>
  </si>
  <si>
    <t>HOÁ CHẤT VIỆT MỸ ( XE LỚN )</t>
  </si>
  <si>
    <t>HBK</t>
  </si>
  <si>
    <t>HƯƠNG BAKI</t>
  </si>
  <si>
    <t>HMAI</t>
  </si>
  <si>
    <t>HOA MAI</t>
  </si>
  <si>
    <t>HCAC</t>
  </si>
  <si>
    <t>Hóa chất Á Châu</t>
  </si>
  <si>
    <t>HCT</t>
  </si>
  <si>
    <t>Hct Family Food</t>
  </si>
  <si>
    <t>HA</t>
  </si>
  <si>
    <t>HỒNG Á ( K BX )</t>
  </si>
  <si>
    <t>HL</t>
  </si>
  <si>
    <t>HÂN LÊ HÓC MÔN</t>
  </si>
  <si>
    <t>HXL</t>
  </si>
  <si>
    <t>HOÀNG XUÂN LONG</t>
  </si>
  <si>
    <t>hanh</t>
  </si>
  <si>
    <t>Hoàng Anh</t>
  </si>
  <si>
    <t>hp</t>
  </si>
  <si>
    <t>HƯNG PHÁT</t>
  </si>
  <si>
    <t>HV</t>
  </si>
  <si>
    <t>HẠT VÀNG - LONG AN</t>
  </si>
  <si>
    <t>HCL</t>
  </si>
  <si>
    <t>HÀ CẨM LiỀNG</t>
  </si>
  <si>
    <t>HPHU</t>
  </si>
  <si>
    <t>HÂN PHÚ</t>
  </si>
  <si>
    <t>HPHAT</t>
  </si>
  <si>
    <t>HỒNG PHÁT</t>
  </si>
  <si>
    <t>HY</t>
  </si>
  <si>
    <t>HOÀNG YẾN</t>
  </si>
  <si>
    <t>hmp</t>
  </si>
  <si>
    <t>HOÀNG MINH PHÁT</t>
  </si>
  <si>
    <t>HQ</t>
  </si>
  <si>
    <t>HƯNG QUẾ</t>
  </si>
  <si>
    <t>HPHUC</t>
  </si>
  <si>
    <t>HOÀ PHÚC</t>
  </si>
  <si>
    <t>htg</t>
  </si>
  <si>
    <t>HT GOLD-V.LỘC ( K BX)</t>
  </si>
  <si>
    <t>HNM</t>
  </si>
  <si>
    <t>HANOIMILK TÂN UYÊN ( KBX )</t>
  </si>
  <si>
    <t>HIM</t>
  </si>
  <si>
    <t>HIM NHƠN TRẠCH</t>
  </si>
  <si>
    <t>CÓ BỐC XẾP</t>
  </si>
  <si>
    <t>H2TD</t>
  </si>
  <si>
    <t>H2CHEMICAL TĐ ( K BX)</t>
  </si>
  <si>
    <t>HH</t>
  </si>
  <si>
    <t>HIẾN HIỆU XUÂN LỘC</t>
  </si>
  <si>
    <t>HNGOC</t>
  </si>
  <si>
    <t>HỒNG NGỌC AN LẠC</t>
  </si>
  <si>
    <t>HTHANH</t>
  </si>
  <si>
    <t>HAI THANH KCN HP</t>
  </si>
  <si>
    <t>HUB</t>
  </si>
  <si>
    <t>HUBCAKE</t>
  </si>
  <si>
    <t>HN</t>
  </si>
  <si>
    <t>HỮU NGHỊ ( KBX )</t>
  </si>
  <si>
    <t>HD</t>
  </si>
  <si>
    <t>HẢI ĐĂNG</t>
  </si>
  <si>
    <t>SHT</t>
  </si>
  <si>
    <t>SONG HỒNG TÂN ( KBX )</t>
  </si>
  <si>
    <t>sgm</t>
  </si>
  <si>
    <t>SÀI GÒN MILK ( K BX )</t>
  </si>
  <si>
    <t>sthm</t>
  </si>
  <si>
    <t>Stella - Hóc Môn</t>
  </si>
  <si>
    <t>spm</t>
  </si>
  <si>
    <t>SPM TÂN TẠO</t>
  </si>
  <si>
    <t>SAF</t>
  </si>
  <si>
    <t>SAF VIỆT</t>
  </si>
  <si>
    <t>sumi</t>
  </si>
  <si>
    <t>SUMIMOTO</t>
  </si>
  <si>
    <t>SAP</t>
  </si>
  <si>
    <t>SAPRIMCO</t>
  </si>
  <si>
    <t>SEA</t>
  </si>
  <si>
    <t>SEASPIMEX</t>
  </si>
  <si>
    <t>sun</t>
  </si>
  <si>
    <t>SUNNY TECH THUẬN AN</t>
  </si>
  <si>
    <t>STD</t>
  </si>
  <si>
    <t>SAO THÁI DƯƠNG</t>
  </si>
  <si>
    <t>SEMBA</t>
  </si>
  <si>
    <t>SEMBA TOHKA ( KBX )</t>
  </si>
  <si>
    <t>SILV</t>
  </si>
  <si>
    <t>SILVER NANO</t>
  </si>
  <si>
    <t>US</t>
  </si>
  <si>
    <t>US PHARMA (KBX )</t>
  </si>
  <si>
    <t>JO</t>
  </si>
  <si>
    <t>JOLIBEE</t>
  </si>
  <si>
    <t>OR</t>
  </si>
  <si>
    <t>ORION VINA</t>
  </si>
  <si>
    <t>ocm</t>
  </si>
  <si>
    <t>OCM ĐỨC HOÀ ( K BX )</t>
  </si>
  <si>
    <t>OMD</t>
  </si>
  <si>
    <t>OMD BÌNH CHÁNH ( KBX )</t>
  </si>
  <si>
    <t>OMDHM</t>
  </si>
  <si>
    <t>OMD HÓC MÔN ( KBX )</t>
  </si>
  <si>
    <t>OMDTD</t>
  </si>
  <si>
    <t>OMD THỦ ĐỨC ( KBX )</t>
  </si>
  <si>
    <t>ima</t>
  </si>
  <si>
    <t>Imanaka Đồng Nai</t>
  </si>
  <si>
    <t>IU</t>
  </si>
  <si>
    <t>HÀNG IU</t>
  </si>
  <si>
    <t>FLE</t>
  </si>
  <si>
    <t>FLEMING BIÊN HÒA</t>
  </si>
  <si>
    <t>RB</t>
  </si>
  <si>
    <t xml:space="preserve">R&amp;B FOOD </t>
  </si>
  <si>
    <t>RBFLH</t>
  </si>
  <si>
    <t>R&amp;B FOOD LONG HẬU</t>
  </si>
  <si>
    <t>3kstd</t>
  </si>
  <si>
    <t>3KS THỦ ĐỨC</t>
  </si>
  <si>
    <t>3KSCG</t>
  </si>
  <si>
    <t>3KS CẦN GIUỘC ( K BX )</t>
  </si>
  <si>
    <t>3KSHTP</t>
  </si>
  <si>
    <t>3KS HUỲNH TẤN PHÁT ( K BX)</t>
  </si>
  <si>
    <t>3KSCH</t>
  </si>
  <si>
    <t>3KS CẨM HƯƠNG ( K BX )</t>
  </si>
  <si>
    <t>3KSDH</t>
  </si>
  <si>
    <t>3KS ĐỨC HÒA</t>
  </si>
  <si>
    <t>VLC</t>
  </si>
  <si>
    <t>VILACO ( KBX )</t>
  </si>
  <si>
    <t>VINAS</t>
  </si>
  <si>
    <t>VINASOY ( KBX )</t>
  </si>
  <si>
    <t>VTN</t>
  </si>
  <si>
    <t>Võ Thành Nhân</t>
  </si>
  <si>
    <t>KK</t>
  </si>
  <si>
    <t>KIM KÊ</t>
  </si>
  <si>
    <t>VV</t>
  </si>
  <si>
    <t>VI VI</t>
  </si>
  <si>
    <t>vnbc</t>
  </si>
  <si>
    <t>VỊ NGỌT HAPPY BÊN CÁT ( KBX )</t>
  </si>
  <si>
    <t>VNHP</t>
  </si>
  <si>
    <t>VỊ NGỌT HAPPY ( K BX )</t>
  </si>
  <si>
    <t>VMP</t>
  </si>
  <si>
    <t>VŨ MỸ PHỤNG ( K BX )</t>
  </si>
  <si>
    <t>VP</t>
  </si>
  <si>
    <t>Vũ Phúc</t>
  </si>
  <si>
    <t>VINA</t>
  </si>
  <si>
    <t>VINASEN</t>
  </si>
  <si>
    <t>vinaf</t>
  </si>
  <si>
    <t>VINAFOOD KYOEI</t>
  </si>
  <si>
    <t>VIVA</t>
  </si>
  <si>
    <t>VIVA CARA</t>
  </si>
  <si>
    <t>VTH</t>
  </si>
  <si>
    <t>VĨNH THẠNH</t>
  </si>
  <si>
    <t>VSS</t>
  </si>
  <si>
    <t>VISSAN</t>
  </si>
  <si>
    <t>VTV</t>
  </si>
  <si>
    <t>VƯƠNG TƯỜNG VÂN</t>
  </si>
  <si>
    <t>vphat</t>
  </si>
  <si>
    <t>VẠN PHÁT</t>
  </si>
  <si>
    <t>VIVI</t>
  </si>
  <si>
    <t>VIVI CACA L.HẬU</t>
  </si>
  <si>
    <t>VPG</t>
  </si>
  <si>
    <t>VĨNH PHONG</t>
  </si>
  <si>
    <t>VICO</t>
  </si>
  <si>
    <t>VICO BÌNH DƯƠNG ( K BX )</t>
  </si>
  <si>
    <t>Vĩnh Nam Anh ( k bx )</t>
  </si>
  <si>
    <t>VNP</t>
  </si>
  <si>
    <t>VINA PRIDE LONG HẬU</t>
  </si>
  <si>
    <t>vh</t>
  </si>
  <si>
    <t>VĨ HUY BẾN LỨC ( K BX )</t>
  </si>
  <si>
    <t>vphuc</t>
  </si>
  <si>
    <t>VĨNH PHÚC</t>
  </si>
  <si>
    <t>VINA SEAFOOD L.HẬU</t>
  </si>
  <si>
    <t>VPLH</t>
  </si>
  <si>
    <t>V.PHÁT L.HẬU (K BX)</t>
  </si>
  <si>
    <t>VHCS</t>
  </si>
  <si>
    <t>VĂN HẬU CHỢ SẶC ( KBX)</t>
  </si>
  <si>
    <t>VHTP</t>
  </si>
  <si>
    <t xml:space="preserve">VĂN HẬU T.PHÚ </t>
  </si>
  <si>
    <t>VHLH</t>
  </si>
  <si>
    <t>VĂN HẬU LONG HƯNG ( KBX )</t>
  </si>
  <si>
    <t>VHQ8</t>
  </si>
  <si>
    <t>VĂN HẬU Q8 ( K BX )</t>
  </si>
  <si>
    <t>VHLA</t>
  </si>
  <si>
    <t>VĂN HẬU LONG AN</t>
  </si>
  <si>
    <t>VHBD</t>
  </si>
  <si>
    <t>V.HẬU LÂM BD ( K BX)</t>
  </si>
  <si>
    <t>VTPBD</t>
  </si>
  <si>
    <t>VIỆT TIÊN PHÚ BD ( K BX )</t>
  </si>
  <si>
    <t>VHCC</t>
  </si>
  <si>
    <t>VĂN HẬU CỦ CHI</t>
  </si>
  <si>
    <t>VHAV</t>
  </si>
  <si>
    <t>VĂN HẬU ANH VIỄN ( KBX )</t>
  </si>
  <si>
    <t>VVL</t>
  </si>
  <si>
    <t>VẠN VẠN LỢI</t>
  </si>
  <si>
    <t>INTER</t>
  </si>
  <si>
    <t>INTER PHARMA T.AN ( KBX )</t>
  </si>
  <si>
    <t>urc</t>
  </si>
  <si>
    <t>URC TÂN UYÊN ( K BX )</t>
  </si>
  <si>
    <t>SENV</t>
  </si>
  <si>
    <t>SEN VIỆT ( K BX )</t>
  </si>
  <si>
    <t>XV</t>
  </si>
  <si>
    <t>XUÂN VÂN ( K BX )</t>
  </si>
  <si>
    <t>xnktl</t>
  </si>
  <si>
    <t>XNK THỦY LONG</t>
  </si>
  <si>
    <t>XNK</t>
  </si>
  <si>
    <t>XNK LONG AN ( CÓ BX )</t>
  </si>
  <si>
    <t>XT</t>
  </si>
  <si>
    <t>XUÂN THUỶ</t>
  </si>
  <si>
    <t>XK</t>
  </si>
  <si>
    <t>XK LONG AN</t>
  </si>
  <si>
    <t>XBHP</t>
  </si>
  <si>
    <t>XÀ BÔNG HẠNH PHƯỚC ( KBX )</t>
  </si>
  <si>
    <t>ICF</t>
  </si>
  <si>
    <t>IC FOOD TÂN PHÚ</t>
  </si>
  <si>
    <t>YL</t>
  </si>
  <si>
    <t>YILIN</t>
  </si>
  <si>
    <t>YG</t>
  </si>
  <si>
    <t>Y GIANG LONG AN</t>
  </si>
  <si>
    <t>UNIP</t>
  </si>
  <si>
    <t>UNIPRESIDEN</t>
  </si>
  <si>
    <t>BTA</t>
  </si>
  <si>
    <t>BÌNH TÂN</t>
  </si>
  <si>
    <t>BCHA</t>
  </si>
  <si>
    <t>BÌNH CHÁNH</t>
  </si>
  <si>
    <t>HƯƠNG NHÂN Q.9</t>
  </si>
  <si>
    <t>Vtau</t>
  </si>
  <si>
    <t>VŨNG TÀU</t>
  </si>
  <si>
    <t>ccvt</t>
  </si>
  <si>
    <t>Củ Chi - Vũng Tàu</t>
  </si>
  <si>
    <t>ccq5</t>
  </si>
  <si>
    <t>Củ Chi - Quận 5</t>
  </si>
  <si>
    <t>GVAP</t>
  </si>
  <si>
    <t>GO VAP</t>
  </si>
  <si>
    <t>CCHI</t>
  </si>
  <si>
    <t>CU CHI</t>
  </si>
  <si>
    <t>BÌNH THẠNH</t>
  </si>
  <si>
    <t>HM</t>
  </si>
  <si>
    <t>HÓC MÔN</t>
  </si>
  <si>
    <t>TDUC</t>
  </si>
  <si>
    <t>THU DUC</t>
  </si>
  <si>
    <t>TH</t>
  </si>
  <si>
    <t>TRẢ HÀNG</t>
  </si>
  <si>
    <t>K50</t>
  </si>
  <si>
    <t>METRO KHO 50</t>
  </si>
  <si>
    <t>MTBP</t>
  </si>
  <si>
    <t>M. BÌNH PHÚ</t>
  </si>
  <si>
    <t>MTHP</t>
  </si>
  <si>
    <t>M. HIỆP PHÚ</t>
  </si>
  <si>
    <t>MTAP</t>
  </si>
  <si>
    <t>M. AN PHÚ</t>
  </si>
  <si>
    <t>MTBH</t>
  </si>
  <si>
    <t>METRO BIEN HOA</t>
  </si>
  <si>
    <t>mhp</t>
  </si>
  <si>
    <t>METRO HƯNG PHÚ</t>
  </si>
  <si>
    <t>mtbd</t>
  </si>
  <si>
    <t>METRO BÌNH DƯƠNG</t>
  </si>
  <si>
    <t>VBD</t>
  </si>
  <si>
    <t>VINCOM BÌNH DƯƠNG</t>
  </si>
  <si>
    <t>VHG</t>
  </si>
  <si>
    <t>VINCOM HƯNG GIA</t>
  </si>
  <si>
    <t>VQ7</t>
  </si>
  <si>
    <t>VINT QUẬN 7</t>
  </si>
  <si>
    <t>VLM</t>
  </si>
  <si>
    <t>VINT LANDMARK</t>
  </si>
  <si>
    <t>vtd</t>
  </si>
  <si>
    <t>VINCOM THẢO ĐIỀN</t>
  </si>
  <si>
    <t>VTDUC</t>
  </si>
  <si>
    <t>VIN THỦ ĐỨC</t>
  </si>
  <si>
    <t>VBC</t>
  </si>
  <si>
    <t>VINCOM BÀU CÁT</t>
  </si>
  <si>
    <t>VBT</t>
  </si>
  <si>
    <t>VINCOM BÌNH TRƯNG</t>
  </si>
  <si>
    <t>V32</t>
  </si>
  <si>
    <t>VIN 3/2</t>
  </si>
  <si>
    <t>VCH</t>
  </si>
  <si>
    <t>VIN CỘNG HÒA</t>
  </si>
  <si>
    <t>VNL</t>
  </si>
  <si>
    <t>VIN NAM LONG</t>
  </si>
  <si>
    <t>VLVV</t>
  </si>
  <si>
    <t>VINCOM LÊ VĂN VIỆT</t>
  </si>
  <si>
    <t>CQ8</t>
  </si>
  <si>
    <t>COOP TUY LÝ VƯƠNG</t>
  </si>
  <si>
    <t>CPL</t>
  </si>
  <si>
    <t>COOP PHÚ LÂM</t>
  </si>
  <si>
    <t>CQT</t>
  </si>
  <si>
    <t>COOP QUANG TRUNG</t>
  </si>
  <si>
    <t>CNK</t>
  </si>
  <si>
    <t>COOP NGUYỄN KiỆM</t>
  </si>
  <si>
    <t>CNL</t>
  </si>
  <si>
    <t>COOP NHIÊU LỘC</t>
  </si>
  <si>
    <t>CBT</t>
  </si>
  <si>
    <t>COOP BÌNH TÂN</t>
  </si>
  <si>
    <t>CBT2</t>
  </si>
  <si>
    <t>COOP BÌNH TÂN 2</t>
  </si>
  <si>
    <t>CHB</t>
  </si>
  <si>
    <t>COOP HÒA BÌNH</t>
  </si>
  <si>
    <t>CRM</t>
  </si>
  <si>
    <t>COOP RACH MiỄU</t>
  </si>
  <si>
    <t>CCVA</t>
  </si>
  <si>
    <t>COOP C.V.AN</t>
  </si>
  <si>
    <t>CPVC</t>
  </si>
  <si>
    <t>COOP PHẠM VĂN CHIÊU</t>
  </si>
  <si>
    <t>CTL</t>
  </si>
  <si>
    <t>COOP THẮNG LỢI</t>
  </si>
  <si>
    <t>cnat</t>
  </si>
  <si>
    <t>COOP NGUYỄN ẢNH THỦ</t>
  </si>
  <si>
    <t>CDVC</t>
  </si>
  <si>
    <t>COOP ĐỒNG VĂN CÔNG</t>
  </si>
  <si>
    <t>CXL</t>
  </si>
  <si>
    <t>COOP XA LỘ HN</t>
  </si>
  <si>
    <t>CHTP</t>
  </si>
  <si>
    <t>COOP HUỲNH TẤN PHÁT</t>
  </si>
  <si>
    <t>CPVH</t>
  </si>
  <si>
    <t>COOP PHAN VĂN HỚN</t>
  </si>
  <si>
    <t>CPVD</t>
  </si>
  <si>
    <t>COOP PHẠM VĂN ĐỒNG</t>
  </si>
  <si>
    <t>CHM</t>
  </si>
  <si>
    <t>COOP HÓC MÔN</t>
  </si>
  <si>
    <t>CCC</t>
  </si>
  <si>
    <t>COOP CỦ CHI</t>
  </si>
  <si>
    <t>CSVH</t>
  </si>
  <si>
    <t>COOP SƯ VẠN HẠNH</t>
  </si>
  <si>
    <t>CLTK</t>
  </si>
  <si>
    <t>COOP LÝ THƯỜNG KIỆT</t>
  </si>
  <si>
    <t>CTM</t>
  </si>
  <si>
    <t>COOP THÁP MƯỜI</t>
  </si>
  <si>
    <t>CNVQ</t>
  </si>
  <si>
    <t>COOP NGUYỄN VĂN QUỲ</t>
  </si>
  <si>
    <t>CTP</t>
  </si>
  <si>
    <t>COOP TÂN PHONG</t>
  </si>
  <si>
    <t>CNB</t>
  </si>
  <si>
    <t>COOP NGUYỄN BÌNH</t>
  </si>
  <si>
    <t>chv</t>
  </si>
  <si>
    <t>COOP Hùng Vương</t>
  </si>
  <si>
    <t>CLT</t>
  </si>
  <si>
    <t>COOP LINH TRUNG</t>
  </si>
  <si>
    <t>cbd</t>
  </si>
  <si>
    <t>COOP BÌNH DƯƠNG</t>
  </si>
  <si>
    <t>CVT</t>
  </si>
  <si>
    <t>COOP VỆ TINH BD</t>
  </si>
  <si>
    <t>ccq</t>
  </si>
  <si>
    <t>COOP CỐNG QUỲNH</t>
  </si>
  <si>
    <t>clmx</t>
  </si>
  <si>
    <t>COOP LÊ MINH XUÂN</t>
  </si>
  <si>
    <t>cst</t>
  </si>
  <si>
    <t>COOP SỐNG THẦN</t>
  </si>
  <si>
    <t>BCAL</t>
  </si>
  <si>
    <t>BIG C AN LAC</t>
  </si>
  <si>
    <t>BCMD</t>
  </si>
  <si>
    <t>BC MIỀN ĐÔNG</t>
  </si>
  <si>
    <t>BCPT</t>
  </si>
  <si>
    <t>BC PHÚ THẠNH</t>
  </si>
  <si>
    <t>BCTC</t>
  </si>
  <si>
    <t>BC TRƯỜNG CHINH</t>
  </si>
  <si>
    <t>BCGV</t>
  </si>
  <si>
    <t>BC GÒ VẤP</t>
  </si>
  <si>
    <t>BCAP</t>
  </si>
  <si>
    <t>BC AN PHÚ</t>
  </si>
  <si>
    <t>BCTH</t>
  </si>
  <si>
    <t>BIG C TÂN HIỆP</t>
  </si>
  <si>
    <t>BCDN</t>
  </si>
  <si>
    <t>BIG C ĐỒNG NAI</t>
  </si>
  <si>
    <t>BCA</t>
  </si>
  <si>
    <t>BIG C ÂU CƠ</t>
  </si>
  <si>
    <t>NCT</t>
  </si>
  <si>
    <t>BC NEW CTY</t>
  </si>
  <si>
    <t>BCtD</t>
  </si>
  <si>
    <t>BC THẢO ĐIỀN</t>
  </si>
  <si>
    <t>BCBD</t>
  </si>
  <si>
    <t>BIG C BÌNH DƯƠNG</t>
  </si>
  <si>
    <t>BCNT</t>
  </si>
  <si>
    <t>BIG C NHƠN TRẠCH</t>
  </si>
  <si>
    <t>BCDA</t>
  </si>
  <si>
    <t>BIG C BIG C DĨ AN</t>
  </si>
  <si>
    <t>BCML</t>
  </si>
  <si>
    <t>EB MOON LIGHT</t>
  </si>
  <si>
    <t>BCTU</t>
  </si>
  <si>
    <t>BIG C TÂN UYÊN</t>
  </si>
  <si>
    <t>BTT</t>
  </si>
  <si>
    <t>BHX TÂN TẠO</t>
  </si>
  <si>
    <t>BTNP</t>
  </si>
  <si>
    <t>BHX TĂNG NHƠN PHÚ</t>
  </si>
  <si>
    <t>BCC</t>
  </si>
  <si>
    <t>BHX CỦ CHI</t>
  </si>
  <si>
    <t>BHM</t>
  </si>
  <si>
    <t>BHX HÓC MÔN</t>
  </si>
  <si>
    <t>B13</t>
  </si>
  <si>
    <t>BHX QuỐC LỘ 13</t>
  </si>
  <si>
    <t>B12</t>
  </si>
  <si>
    <t>BHX QUẬN 12</t>
  </si>
  <si>
    <t>bgv</t>
  </si>
  <si>
    <t>BHX GÒ VẤP</t>
  </si>
  <si>
    <t>BBT</t>
  </si>
  <si>
    <t>BHX BÌNH TÂN</t>
  </si>
  <si>
    <t>BBT2</t>
  </si>
  <si>
    <t>BHX BÌNH TÂN 2</t>
  </si>
  <si>
    <t>BTQN</t>
  </si>
  <si>
    <t>BHX T.QUANG NGHỊ</t>
  </si>
  <si>
    <t>BQ6</t>
  </si>
  <si>
    <t>BHX QuẬN 6</t>
  </si>
  <si>
    <t>BVL</t>
  </si>
  <si>
    <t>BHX ( VL)</t>
  </si>
  <si>
    <t>BTDN</t>
  </si>
  <si>
    <t>BHX ( TĐN)</t>
  </si>
  <si>
    <t>BHCD</t>
  </si>
  <si>
    <t>BHX CẦN ĐƯỚC</t>
  </si>
  <si>
    <t>BLB</t>
  </si>
  <si>
    <t>BHX LONG BÌNH</t>
  </si>
  <si>
    <t>Bnb</t>
  </si>
  <si>
    <t>BHX NHÀ BÈ</t>
  </si>
  <si>
    <t>BXA</t>
  </si>
  <si>
    <t>BHX XUYÊN Á</t>
  </si>
  <si>
    <t>bdh</t>
  </si>
  <si>
    <t>BHX ĐỨC HÒA</t>
  </si>
  <si>
    <t>bav</t>
  </si>
  <si>
    <t>BHX AVAKID- LONG HẬU</t>
  </si>
  <si>
    <t>BHTA</t>
  </si>
  <si>
    <t>BHX THUẬN AN</t>
  </si>
  <si>
    <t>BHDA</t>
  </si>
  <si>
    <t>BHX DĨ AN</t>
  </si>
  <si>
    <t>CITI</t>
  </si>
  <si>
    <t>CITIMART - Q7</t>
  </si>
  <si>
    <t>AEON</t>
  </si>
  <si>
    <t>AEON BÌNH TÂN</t>
  </si>
  <si>
    <t>ATP</t>
  </si>
  <si>
    <t>AEON TÂN PHÚ</t>
  </si>
  <si>
    <t>A12</t>
  </si>
  <si>
    <t>AEON QUẬN 12</t>
  </si>
  <si>
    <t>AES</t>
  </si>
  <si>
    <t>AEON SORA B.DƯƠNG</t>
  </si>
  <si>
    <t>ARDC</t>
  </si>
  <si>
    <t>AEON RDC Q12</t>
  </si>
  <si>
    <t>AQ7</t>
  </si>
  <si>
    <t>AEON QUẬN 7</t>
  </si>
  <si>
    <t>A8</t>
  </si>
  <si>
    <t>AEON QUẬN 8</t>
  </si>
  <si>
    <t>ABD</t>
  </si>
  <si>
    <t>AEON BÌNH DƯƠNG</t>
  </si>
  <si>
    <t>EMTĐ</t>
  </si>
  <si>
    <t>E MART THỦ ĐỨC</t>
  </si>
  <si>
    <t>EM</t>
  </si>
  <si>
    <t>E MART P.V.TRỊ</t>
  </si>
  <si>
    <t>EMS</t>
  </si>
  <si>
    <t>E MART SALA</t>
  </si>
  <si>
    <t>EMP</t>
  </si>
  <si>
    <t>EMART P.H.ÍCH</t>
  </si>
  <si>
    <t>NVC</t>
  </si>
  <si>
    <t>NGUYỄN VĂN CỪ</t>
  </si>
  <si>
    <t>LOTE</t>
  </si>
  <si>
    <t>LOTTEMART-Q7</t>
  </si>
  <si>
    <t>LTPT</t>
  </si>
  <si>
    <t>LOTTE-PHU THO</t>
  </si>
  <si>
    <t>LTGV</t>
  </si>
  <si>
    <t>LOTTE-GÒ VẤP</t>
  </si>
  <si>
    <t>LTDN</t>
  </si>
  <si>
    <t>LOTTE ĐỒNG NAI</t>
  </si>
  <si>
    <t>LTTB</t>
  </si>
  <si>
    <t>LOTTE-TÂN BÌNH</t>
  </si>
  <si>
    <t>LTBD</t>
  </si>
  <si>
    <t>LOTTE BÌNH DƯƠNG</t>
  </si>
  <si>
    <t>LTTDM</t>
  </si>
  <si>
    <t>LOTTE THỦ DẦU MỘT</t>
  </si>
  <si>
    <t>CL</t>
  </si>
  <si>
    <t>CẢNG CÁT LÁI</t>
  </si>
  <si>
    <t>CHUYỂN HÀNG UNI</t>
  </si>
  <si>
    <t>ND</t>
  </si>
  <si>
    <t>NAM DƯƠNG</t>
  </si>
  <si>
    <t>DVH</t>
  </si>
  <si>
    <t>ĐẠI ViỆT HƯƠNG TP</t>
  </si>
  <si>
    <t>stvt</t>
  </si>
  <si>
    <t>SATRA VIETTEL</t>
  </si>
  <si>
    <t>SBD</t>
  </si>
  <si>
    <t>SATRA BÌNH ĐIỀN</t>
  </si>
  <si>
    <t>SSG</t>
  </si>
  <si>
    <t>SATRA SÀI GÒN</t>
  </si>
  <si>
    <t>SPH</t>
  </si>
  <si>
    <t>SATRA PHẠM HÙNG</t>
  </si>
  <si>
    <t>SCT</t>
  </si>
  <si>
    <t>SATRA CẦN THƠ</t>
  </si>
  <si>
    <t>scc</t>
  </si>
  <si>
    <t>SATRA CỦ CHI</t>
  </si>
  <si>
    <t>STX</t>
  </si>
  <si>
    <t>SATRA TX TAX</t>
  </si>
  <si>
    <t>svvk</t>
  </si>
  <si>
    <t>SATRA VÕ VĂN KIỆT</t>
  </si>
  <si>
    <t>stbd</t>
  </si>
  <si>
    <t>SATRA BÌNH DƯƠNG</t>
  </si>
  <si>
    <t>SFOOD</t>
  </si>
  <si>
    <t>SATRA FOOD</t>
  </si>
  <si>
    <t>1 ĐIỂM</t>
  </si>
  <si>
    <t>fyar</t>
  </si>
  <si>
    <t>FOOKYIK - ARDA</t>
  </si>
  <si>
    <t>SFY</t>
  </si>
  <si>
    <t>STUDIO - FOOKYIL</t>
  </si>
  <si>
    <t>FYS</t>
  </si>
  <si>
    <t>FOOKYIK - STUDIO</t>
  </si>
  <si>
    <t>FYAA</t>
  </si>
  <si>
    <t>FOOKYIK</t>
  </si>
  <si>
    <t>LLFY</t>
  </si>
  <si>
    <t>LILY 19 - FOOKYIL</t>
  </si>
  <si>
    <t>l1fy</t>
  </si>
  <si>
    <t>LAB 1 - FOOOKYIL</t>
  </si>
  <si>
    <t>SA</t>
  </si>
  <si>
    <t>STUDIO</t>
  </si>
  <si>
    <t>AS</t>
  </si>
  <si>
    <t>AA</t>
  </si>
  <si>
    <t>AL1</t>
  </si>
  <si>
    <t>L1A</t>
  </si>
  <si>
    <t>LAB 1</t>
  </si>
  <si>
    <t>ALL</t>
  </si>
  <si>
    <t>BLLL</t>
  </si>
  <si>
    <t>BẾN LỨC</t>
  </si>
  <si>
    <t>SK1</t>
  </si>
  <si>
    <t>STUDIO- KAISER 1</t>
  </si>
  <si>
    <t>K1S</t>
  </si>
  <si>
    <t>KAISER 1- STUDIO</t>
  </si>
  <si>
    <t>K1V</t>
  </si>
  <si>
    <t>KAISER 1 - VTP</t>
  </si>
  <si>
    <t>QTFY</t>
  </si>
  <si>
    <t>QUỐC TRƯỞNG -FOOKYIL</t>
  </si>
  <si>
    <t>VK1</t>
  </si>
  <si>
    <t>VTP - KAISER 1</t>
  </si>
  <si>
    <t>K1L1</t>
  </si>
  <si>
    <t>KAISER 1 - LAB 1</t>
  </si>
  <si>
    <t>LK1</t>
  </si>
  <si>
    <t>LAB 1 - KAISER 1</t>
  </si>
  <si>
    <t>K2S</t>
  </si>
  <si>
    <t>KAISER 2 - STUDIO</t>
  </si>
  <si>
    <t>SK2</t>
  </si>
  <si>
    <t>STUDIO - KAISER 2</t>
  </si>
  <si>
    <t>K2L1</t>
  </si>
  <si>
    <t>KAISER 2 - LAB 1</t>
  </si>
  <si>
    <t>L1K2</t>
  </si>
  <si>
    <t>LAB 1 - K2</t>
  </si>
  <si>
    <t>LLK2</t>
  </si>
  <si>
    <t>LILY - K2</t>
  </si>
  <si>
    <t>VS</t>
  </si>
  <si>
    <t>VTP - STUDIO</t>
  </si>
  <si>
    <t>SV</t>
  </si>
  <si>
    <t>STUDIO - VTP</t>
  </si>
  <si>
    <t>SLL</t>
  </si>
  <si>
    <t>STUDIO - LILY</t>
  </si>
  <si>
    <t>smg</t>
  </si>
  <si>
    <t>LLS</t>
  </si>
  <si>
    <t>LILY - STUDIO</t>
  </si>
  <si>
    <t>SUL</t>
  </si>
  <si>
    <t>ULS</t>
  </si>
  <si>
    <t>UL</t>
  </si>
  <si>
    <t>ULL1</t>
  </si>
  <si>
    <t>L1UL</t>
  </si>
  <si>
    <t>SBM</t>
  </si>
  <si>
    <t>BMS</t>
  </si>
  <si>
    <t>BOMEI</t>
  </si>
  <si>
    <t>bmll</t>
  </si>
  <si>
    <t>LLBM</t>
  </si>
  <si>
    <t>LILY</t>
  </si>
  <si>
    <t>QTL</t>
  </si>
  <si>
    <t>QUỐC TRƯỞNG</t>
  </si>
  <si>
    <t>LQT</t>
  </si>
  <si>
    <t>SGLL</t>
  </si>
  <si>
    <t>SAIGON RIVER - LILY</t>
  </si>
  <si>
    <t>SGM</t>
  </si>
  <si>
    <t>SAIGON RIVER - MTS</t>
  </si>
  <si>
    <t>MSG</t>
  </si>
  <si>
    <t>MTS - SG RIVER</t>
  </si>
  <si>
    <t>LLSG</t>
  </si>
  <si>
    <t>LILY - SÀI GÒN RIVER</t>
  </si>
  <si>
    <t>SGRLL</t>
  </si>
  <si>
    <t>sgRs</t>
  </si>
  <si>
    <t>SAIGON RIVER - STUDIO</t>
  </si>
  <si>
    <t>SSGR</t>
  </si>
  <si>
    <t>STUDIO - SG RIVER</t>
  </si>
  <si>
    <t>SGRAR</t>
  </si>
  <si>
    <t>SAIGON RIVER -ARDA</t>
  </si>
  <si>
    <t>ARSGR</t>
  </si>
  <si>
    <t>ARDA - SG RIVER</t>
  </si>
  <si>
    <t>sgrm</t>
  </si>
  <si>
    <t>VLL</t>
  </si>
  <si>
    <t>VTP - LILY</t>
  </si>
  <si>
    <t>LLV</t>
  </si>
  <si>
    <t>LILY - VTP</t>
  </si>
  <si>
    <t>VM</t>
  </si>
  <si>
    <t>VTP - MTS</t>
  </si>
  <si>
    <t>MV</t>
  </si>
  <si>
    <t>MTS VTP</t>
  </si>
  <si>
    <t>TA3LL</t>
  </si>
  <si>
    <t>TA3- LILY</t>
  </si>
  <si>
    <t>LLTA3</t>
  </si>
  <si>
    <t>LILY 19 TA1</t>
  </si>
  <si>
    <t>LTA3</t>
  </si>
  <si>
    <t>LAB 1 TA3</t>
  </si>
  <si>
    <t>TA3L</t>
  </si>
  <si>
    <t>TA3 - LILY</t>
  </si>
  <si>
    <t>STML</t>
  </si>
  <si>
    <t>TMLS</t>
  </si>
  <si>
    <t>TML</t>
  </si>
  <si>
    <t>STA3</t>
  </si>
  <si>
    <t>STUDIO - TA3</t>
  </si>
  <si>
    <t>TA3S</t>
  </si>
  <si>
    <t>TA3 - STUDIO</t>
  </si>
  <si>
    <t>VL1</t>
  </si>
  <si>
    <t>VTP LAB 1</t>
  </si>
  <si>
    <t>L1V</t>
  </si>
  <si>
    <t>LAB 1 - VTP</t>
  </si>
  <si>
    <t>TA1L1</t>
  </si>
  <si>
    <t>TA1 - LAB 1</t>
  </si>
  <si>
    <t>TA1AR</t>
  </si>
  <si>
    <t>TA1 - ARDA</t>
  </si>
  <si>
    <t>ta1vt</t>
  </si>
  <si>
    <t>TA1 - VIETSTONE</t>
  </si>
  <si>
    <t>SVT</t>
  </si>
  <si>
    <t>STUDIO - VIETSTONE</t>
  </si>
  <si>
    <t>vtfy</t>
  </si>
  <si>
    <t>VIETSTONE - FOOKYIL</t>
  </si>
  <si>
    <t>L1TA1</t>
  </si>
  <si>
    <t>LAB 1 - TA1</t>
  </si>
  <si>
    <t>STA1</t>
  </si>
  <si>
    <t>STUDIO - TA1</t>
  </si>
  <si>
    <t>TA1S</t>
  </si>
  <si>
    <t>TA1 - STUDIO</t>
  </si>
  <si>
    <t>TA1UL</t>
  </si>
  <si>
    <t>TA1</t>
  </si>
  <si>
    <t>ARDA</t>
  </si>
  <si>
    <t>TA1SB</t>
  </si>
  <si>
    <t>k1sb</t>
  </si>
  <si>
    <t>KAISER 1</t>
  </si>
  <si>
    <t>L1S</t>
  </si>
  <si>
    <t>LAB 1 - STUDIO</t>
  </si>
  <si>
    <t>SL1</t>
  </si>
  <si>
    <t>STUDIO - LAB 1</t>
  </si>
  <si>
    <t>L1FY</t>
  </si>
  <si>
    <t>LAB 1 - FOOKYI;</t>
  </si>
  <si>
    <t>FYL1</t>
  </si>
  <si>
    <t>FOOKYIK - LAB 1</t>
  </si>
  <si>
    <t>L1B</t>
  </si>
  <si>
    <t>LAB 1 -BOMEI</t>
  </si>
  <si>
    <t>BL1</t>
  </si>
  <si>
    <t>BOMEI - LAB 1</t>
  </si>
  <si>
    <t>MS</t>
  </si>
  <si>
    <t>MTS -STUDIO</t>
  </si>
  <si>
    <t>SM</t>
  </si>
  <si>
    <t>STUDIO - MTS</t>
  </si>
  <si>
    <t>L1AK</t>
  </si>
  <si>
    <t>AKL1</t>
  </si>
  <si>
    <t>AKZO - LAB 1</t>
  </si>
  <si>
    <t>ML1</t>
  </si>
  <si>
    <t>MTS - LAB 1</t>
  </si>
  <si>
    <t>q1l1</t>
  </si>
  <si>
    <t>QUẬN 1</t>
  </si>
  <si>
    <t>MLL</t>
  </si>
  <si>
    <t>MTS - STUDIO</t>
  </si>
  <si>
    <t>L1M</t>
  </si>
  <si>
    <t>LAB 1 MTS</t>
  </si>
  <si>
    <t>TPAR</t>
  </si>
  <si>
    <t>TPLAND</t>
  </si>
  <si>
    <t>var</t>
  </si>
  <si>
    <t>VTP</t>
  </si>
  <si>
    <t>arv</t>
  </si>
  <si>
    <t>ARS</t>
  </si>
  <si>
    <t>SAR</t>
  </si>
  <si>
    <t>ARL1</t>
  </si>
  <si>
    <t>GVL1</t>
  </si>
  <si>
    <t>GỖ VIỆT</t>
  </si>
  <si>
    <t>L1AR</t>
  </si>
  <si>
    <t>ARA</t>
  </si>
  <si>
    <t>ARCL</t>
  </si>
  <si>
    <t>ARQ8</t>
  </si>
  <si>
    <t>ARQ7</t>
  </si>
  <si>
    <t>q7s</t>
  </si>
  <si>
    <t>QUẬN 7</t>
  </si>
  <si>
    <t>CLAR</t>
  </si>
  <si>
    <t>CÁT LÁI</t>
  </si>
  <si>
    <t>MAR</t>
  </si>
  <si>
    <t>MTS</t>
  </si>
  <si>
    <t>ARM</t>
  </si>
  <si>
    <t>SCL</t>
  </si>
  <si>
    <t>CLS</t>
  </si>
  <si>
    <t>l1cl</t>
  </si>
  <si>
    <t>cll1</t>
  </si>
  <si>
    <t>stp</t>
  </si>
  <si>
    <t>TPS</t>
  </si>
  <si>
    <t>L1TP</t>
  </si>
  <si>
    <t>TPL1</t>
  </si>
  <si>
    <t>tpll</t>
  </si>
  <si>
    <t>lltp</t>
  </si>
  <si>
    <t>STL</t>
  </si>
  <si>
    <t>TLS</t>
  </si>
  <si>
    <t>TULIP - STUDIO</t>
  </si>
  <si>
    <t>LLA</t>
  </si>
  <si>
    <t xml:space="preserve">LILY 19 </t>
  </si>
  <si>
    <t>LLAR</t>
  </si>
  <si>
    <t>LILY 19</t>
  </si>
  <si>
    <t>LLPL</t>
  </si>
  <si>
    <t>LLDN</t>
  </si>
  <si>
    <t>2 ĐIỂM</t>
  </si>
  <si>
    <t>sk1k2</t>
  </si>
  <si>
    <t>STUDIO- K1-K2</t>
  </si>
  <si>
    <t>k2k1s</t>
  </si>
  <si>
    <t>KAISER 1 + 2 - STUDIO</t>
  </si>
  <si>
    <t>sfyk1</t>
  </si>
  <si>
    <t>STUDIO - FOOOKYIL</t>
  </si>
  <si>
    <t>LLSFY</t>
  </si>
  <si>
    <t>LILY 19 + STUDIO</t>
  </si>
  <si>
    <t>LLSK2</t>
  </si>
  <si>
    <t>SK1AR</t>
  </si>
  <si>
    <t>SK2AR</t>
  </si>
  <si>
    <t>STA13</t>
  </si>
  <si>
    <t>K2VS</t>
  </si>
  <si>
    <t>KAISER 2</t>
  </si>
  <si>
    <t>SVK2</t>
  </si>
  <si>
    <t>SFYK2</t>
  </si>
  <si>
    <t>ARK1ll</t>
  </si>
  <si>
    <t>ARDA + KAISER 1</t>
  </si>
  <si>
    <t>llsvt</t>
  </si>
  <si>
    <t>3 ĐIỂM</t>
  </si>
  <si>
    <t>ARK2K1S</t>
  </si>
  <si>
    <t>ARDA + KAISER 2 + KAISER 1</t>
  </si>
  <si>
    <t>sk1k2ar</t>
  </si>
  <si>
    <t>mllar</t>
  </si>
  <si>
    <t>LSK1AR</t>
  </si>
  <si>
    <t>ml1s</t>
  </si>
  <si>
    <t>MTS + LAB 1</t>
  </si>
  <si>
    <t>l1vtfy</t>
  </si>
  <si>
    <t>llk1k2</t>
  </si>
  <si>
    <t xml:space="preserve"> </t>
  </si>
  <si>
    <t>CÔNG TNHH DV VT PHÚ PHÁT</t>
  </si>
  <si>
    <t>165 Đỗ Thị Lời, P11, Q3, TP. HCM.</t>
  </si>
  <si>
    <t>LƯU</t>
  </si>
  <si>
    <t>Tên :</t>
  </si>
  <si>
    <t>Số xe :</t>
  </si>
  <si>
    <t>P</t>
  </si>
  <si>
    <t>F</t>
  </si>
  <si>
    <t>TÊN</t>
  </si>
  <si>
    <t>Ngày</t>
  </si>
  <si>
    <t>Số xe</t>
  </si>
  <si>
    <t>Nơi giao</t>
  </si>
  <si>
    <t>Cđường</t>
  </si>
  <si>
    <t>ghi chú</t>
  </si>
  <si>
    <t>TẤN</t>
  </si>
  <si>
    <t>B.XẾP</t>
  </si>
  <si>
    <t>C.phí</t>
  </si>
  <si>
    <t>TÀI</t>
  </si>
  <si>
    <t>Đơn giá</t>
  </si>
  <si>
    <t>Thành tiền</t>
  </si>
  <si>
    <t>em</t>
  </si>
  <si>
    <t>10594</t>
  </si>
  <si>
    <t>2/6</t>
  </si>
  <si>
    <t>10596+10595</t>
  </si>
  <si>
    <t>10597</t>
  </si>
  <si>
    <t>kfc</t>
  </si>
  <si>
    <t>88767</t>
  </si>
  <si>
    <t>88772</t>
  </si>
  <si>
    <t>88757</t>
  </si>
  <si>
    <t>88770</t>
  </si>
  <si>
    <t>88761</t>
  </si>
  <si>
    <t>af</t>
  </si>
  <si>
    <t>88702</t>
  </si>
  <si>
    <t>10600+88787</t>
  </si>
  <si>
    <t>sht</t>
  </si>
  <si>
    <t>88766</t>
  </si>
  <si>
    <t>4/6</t>
  </si>
  <si>
    <t>tp2</t>
  </si>
  <si>
    <t>7382</t>
  </si>
  <si>
    <t>XUẤT UNI</t>
  </si>
  <si>
    <t>7391</t>
  </si>
  <si>
    <t>7389</t>
  </si>
  <si>
    <t>7379</t>
  </si>
  <si>
    <t>7386</t>
  </si>
  <si>
    <t>5/6</t>
  </si>
  <si>
    <t>dpqt</t>
  </si>
  <si>
    <t>88777</t>
  </si>
  <si>
    <t>X1</t>
  </si>
  <si>
    <t>88779</t>
  </si>
  <si>
    <t>88775</t>
  </si>
  <si>
    <t>ssg</t>
  </si>
  <si>
    <t>thuận</t>
  </si>
  <si>
    <t>89022</t>
  </si>
  <si>
    <t>bcmd</t>
  </si>
  <si>
    <t>88773+88774+11000+10599</t>
  </si>
  <si>
    <t>ntru</t>
  </si>
  <si>
    <t>88710</t>
  </si>
  <si>
    <t>ha</t>
  </si>
  <si>
    <t>88704</t>
  </si>
  <si>
    <t>88719</t>
  </si>
  <si>
    <t>vhq8</t>
  </si>
  <si>
    <t>B TÂM</t>
  </si>
  <si>
    <t>R</t>
  </si>
  <si>
    <t>88944</t>
  </si>
  <si>
    <t>88706</t>
  </si>
  <si>
    <t>vnhp</t>
  </si>
  <si>
    <t>ư lừa</t>
  </si>
  <si>
    <t>88948</t>
  </si>
  <si>
    <t>a lợi</t>
  </si>
  <si>
    <t>88947</t>
  </si>
  <si>
    <t>bnb</t>
  </si>
  <si>
    <t>88892+88905</t>
  </si>
  <si>
    <t>b tâm</t>
  </si>
  <si>
    <t>89023</t>
  </si>
  <si>
    <t>t anh</t>
  </si>
  <si>
    <t>89026</t>
  </si>
  <si>
    <t>10680+89233+89240+89235+89236</t>
  </si>
  <si>
    <t>89218+11081+11085+89220+89222</t>
  </si>
  <si>
    <t>89216+89213</t>
  </si>
  <si>
    <t>89211</t>
  </si>
  <si>
    <t>11144</t>
  </si>
  <si>
    <t>8/6</t>
  </si>
  <si>
    <t>10687</t>
  </si>
  <si>
    <t>GẠO UNI</t>
  </si>
  <si>
    <t>10689</t>
  </si>
  <si>
    <t>10690</t>
  </si>
  <si>
    <t>pgh</t>
  </si>
  <si>
    <t>MTbp</t>
  </si>
  <si>
    <t>89485+89489+89491+89493+89495+89482+89484+89479</t>
  </si>
  <si>
    <t>10709+89439+89436+89437+89440</t>
  </si>
  <si>
    <t>89302+89294</t>
  </si>
  <si>
    <t>89322+89312+89304+89321+89307+13382+13381</t>
  </si>
  <si>
    <t>MCC + NDFC</t>
  </si>
  <si>
    <t>89238</t>
  </si>
  <si>
    <t>STVT</t>
  </si>
  <si>
    <t>89326+89325+89324</t>
  </si>
  <si>
    <t>89338</t>
  </si>
  <si>
    <t>11105+89334</t>
  </si>
  <si>
    <t>89232</t>
  </si>
  <si>
    <t>89244</t>
  </si>
  <si>
    <t>MNVT</t>
  </si>
  <si>
    <t>Ư lừa</t>
  </si>
  <si>
    <t>89333+11103</t>
  </si>
  <si>
    <t>50H 50999 SX</t>
  </si>
  <si>
    <t>89361+89363+11117+89358</t>
  </si>
  <si>
    <t>SX 50E 164,61</t>
  </si>
  <si>
    <t>89247</t>
  </si>
  <si>
    <t>CLMBC</t>
  </si>
  <si>
    <t>89446</t>
  </si>
  <si>
    <t>BNB</t>
  </si>
  <si>
    <t>89435</t>
  </si>
  <si>
    <t>89578</t>
  </si>
  <si>
    <t>long</t>
  </si>
  <si>
    <t>89623</t>
  </si>
  <si>
    <t>SX 50H 70216</t>
  </si>
  <si>
    <t>w HIẾU</t>
  </si>
  <si>
    <t>89575+89573+</t>
  </si>
  <si>
    <t>o vương</t>
  </si>
  <si>
    <t>89791</t>
  </si>
  <si>
    <t>50H 87442 SX</t>
  </si>
  <si>
    <t>89806</t>
  </si>
  <si>
    <t>89807</t>
  </si>
  <si>
    <t>a dung</t>
  </si>
  <si>
    <t>89793</t>
  </si>
  <si>
    <t>z</t>
  </si>
  <si>
    <t>89799</t>
  </si>
  <si>
    <t>89716+89725+89730+89733+89735+89750+10730</t>
  </si>
  <si>
    <t>UNI 50H 55116 SX</t>
  </si>
  <si>
    <t>f y</t>
  </si>
  <si>
    <t>11195+11192+89739+89734+89736+89731+89722+89727+89732+10740+10741+10742+10743</t>
  </si>
  <si>
    <t>UNI SX 50H 44328</t>
  </si>
  <si>
    <t>89705</t>
  </si>
  <si>
    <t>NDFC SX 3 ( 55161 + 16461 + 63174 )</t>
  </si>
  <si>
    <t>m hưng</t>
  </si>
  <si>
    <t>89567</t>
  </si>
  <si>
    <t>y thanh</t>
  </si>
  <si>
    <t>89554+89556</t>
  </si>
  <si>
    <t>89754+89757</t>
  </si>
  <si>
    <t>NDFC 50H 55443 SX</t>
  </si>
  <si>
    <t>c sơn</t>
  </si>
  <si>
    <t>89608</t>
  </si>
  <si>
    <t>CLUN</t>
  </si>
  <si>
    <t>bbnh+8182+8180</t>
  </si>
  <si>
    <t>10760</t>
  </si>
  <si>
    <t>89888+89890+89889+89891</t>
  </si>
  <si>
    <t>y1</t>
  </si>
  <si>
    <t>89987+89892+89887+89885</t>
  </si>
  <si>
    <t>e1</t>
  </si>
  <si>
    <t>89886+89884+10761</t>
  </si>
  <si>
    <t>89899+89903+90000+89904+89901+89902+89900</t>
  </si>
  <si>
    <t>89958</t>
  </si>
  <si>
    <t>89921</t>
  </si>
  <si>
    <t>89946</t>
  </si>
  <si>
    <t>89945</t>
  </si>
  <si>
    <t>89928</t>
  </si>
  <si>
    <t>11258+89985</t>
  </si>
  <si>
    <t>PAPA</t>
  </si>
  <si>
    <t>89949</t>
  </si>
  <si>
    <t>NTH</t>
  </si>
  <si>
    <t>90042+11270</t>
  </si>
  <si>
    <t>PPm</t>
  </si>
  <si>
    <t>90098</t>
  </si>
  <si>
    <t>90165</t>
  </si>
  <si>
    <t>PV</t>
  </si>
  <si>
    <t>11291+90097+90177</t>
  </si>
  <si>
    <t>90151</t>
  </si>
  <si>
    <t>90335</t>
  </si>
  <si>
    <t>90186</t>
  </si>
  <si>
    <t>90241</t>
  </si>
  <si>
    <t>90334</t>
  </si>
  <si>
    <t>10784+90215</t>
  </si>
  <si>
    <t>CLMX</t>
  </si>
  <si>
    <t>36406</t>
  </si>
  <si>
    <t>36395+90353+36392</t>
  </si>
  <si>
    <t>10809</t>
  </si>
  <si>
    <t>ems</t>
  </si>
  <si>
    <t>10885</t>
  </si>
  <si>
    <t>uni</t>
  </si>
  <si>
    <t>nvh</t>
  </si>
  <si>
    <t>11394</t>
  </si>
  <si>
    <t xml:space="preserve"> 10893</t>
  </si>
  <si>
    <t>gao uni</t>
  </si>
  <si>
    <t>10897+10896+10898</t>
  </si>
  <si>
    <t>gạo ghép nvc</t>
  </si>
  <si>
    <t>pvg</t>
  </si>
  <si>
    <t>90844</t>
  </si>
  <si>
    <t>90933</t>
  </si>
  <si>
    <t>90829</t>
  </si>
  <si>
    <t>vpg</t>
  </si>
  <si>
    <t>90799</t>
  </si>
  <si>
    <t>hq</t>
  </si>
  <si>
    <t>90808+11392</t>
  </si>
  <si>
    <t>nnh</t>
  </si>
  <si>
    <t>11397+90842</t>
  </si>
  <si>
    <t>90874</t>
  </si>
  <si>
    <t>tant</t>
  </si>
  <si>
    <t>11420+11419+90996+11421+90994</t>
  </si>
  <si>
    <t>h.mẫu b.l.phát</t>
  </si>
  <si>
    <t>jo</t>
  </si>
  <si>
    <t>90822</t>
  </si>
  <si>
    <t>bhcd</t>
  </si>
  <si>
    <t>90995+90991</t>
  </si>
  <si>
    <t>poyun</t>
  </si>
  <si>
    <t>PGH</t>
  </si>
  <si>
    <t>mgvp</t>
  </si>
  <si>
    <t>91147</t>
  </si>
  <si>
    <t>91064</t>
  </si>
  <si>
    <t>91065</t>
  </si>
  <si>
    <t>ardc</t>
  </si>
  <si>
    <t>91105+91119+91124+91134+91138+10919</t>
  </si>
  <si>
    <t>btdn</t>
  </si>
  <si>
    <t>91215</t>
  </si>
  <si>
    <t>91204</t>
  </si>
  <si>
    <t>91278</t>
  </si>
  <si>
    <t>blb</t>
  </si>
  <si>
    <t>91201+10898</t>
  </si>
  <si>
    <t>91280</t>
  </si>
  <si>
    <t>bvl</t>
  </si>
  <si>
    <t>91063</t>
  </si>
  <si>
    <t>91143</t>
  </si>
  <si>
    <t>91176</t>
  </si>
  <si>
    <t>8337+bbnh</t>
  </si>
  <si>
    <t>k50</t>
  </si>
  <si>
    <t>91274+36725</t>
  </si>
  <si>
    <t>91273+36748+36749</t>
  </si>
  <si>
    <t>- phí cầu đường</t>
  </si>
  <si>
    <t>10980</t>
  </si>
  <si>
    <t>10993+91642+91636+10992+91644</t>
  </si>
  <si>
    <t>91645+11496+91651+91647+91648</t>
  </si>
  <si>
    <t>emp</t>
  </si>
  <si>
    <t>91626+91620+10991</t>
  </si>
  <si>
    <t>i tHI</t>
  </si>
  <si>
    <t>91581+91572+91574+91564</t>
  </si>
  <si>
    <t>10997+10996</t>
  </si>
  <si>
    <t>10995</t>
  </si>
  <si>
    <t>36833</t>
  </si>
  <si>
    <t>36857</t>
  </si>
  <si>
    <t>36835</t>
  </si>
  <si>
    <t>36861</t>
  </si>
  <si>
    <t>91575+11488</t>
  </si>
  <si>
    <t>tp</t>
  </si>
  <si>
    <t>91594</t>
  </si>
  <si>
    <t>lg</t>
  </si>
  <si>
    <t>Y Thanh</t>
  </si>
  <si>
    <t>11510+91748</t>
  </si>
  <si>
    <t>11535+91942</t>
  </si>
  <si>
    <t>chành</t>
  </si>
  <si>
    <t>vvl</t>
  </si>
  <si>
    <t>91719+11507</t>
  </si>
  <si>
    <t>91841</t>
  </si>
  <si>
    <t>kk</t>
  </si>
  <si>
    <t>91862</t>
  </si>
  <si>
    <t>91854</t>
  </si>
  <si>
    <t>91845</t>
  </si>
  <si>
    <t>91759</t>
  </si>
  <si>
    <t>91757</t>
  </si>
  <si>
    <t>91765</t>
  </si>
  <si>
    <t>91838</t>
  </si>
  <si>
    <t>q hải</t>
  </si>
  <si>
    <t>91889</t>
  </si>
  <si>
    <t>92056</t>
  </si>
  <si>
    <t>v vũ</t>
  </si>
  <si>
    <t>92063</t>
  </si>
  <si>
    <t>92114+92115+92107+92104+92111+92117+92121+92116</t>
  </si>
  <si>
    <t>11049+92087</t>
  </si>
  <si>
    <t>lote</t>
  </si>
  <si>
    <t>11027+92054+92029</t>
  </si>
  <si>
    <t>15/6</t>
  </si>
  <si>
    <t>92051+11547</t>
  </si>
  <si>
    <t>11025</t>
  </si>
  <si>
    <t>xv</t>
  </si>
  <si>
    <t>92248</t>
  </si>
  <si>
    <t>92251</t>
  </si>
  <si>
    <t>mtbp</t>
  </si>
  <si>
    <t>89485+11588+11589</t>
  </si>
  <si>
    <t>37213</t>
  </si>
  <si>
    <t>92259+37216+92257</t>
  </si>
  <si>
    <t>92245+92247</t>
  </si>
  <si>
    <t>11080</t>
  </si>
  <si>
    <t>11079</t>
  </si>
  <si>
    <t>ư LỪA</t>
  </si>
  <si>
    <t>11088</t>
  </si>
  <si>
    <t>giao cn</t>
  </si>
  <si>
    <t>11081</t>
  </si>
  <si>
    <t>11087</t>
  </si>
  <si>
    <t>11086</t>
  </si>
  <si>
    <t>11089</t>
  </si>
  <si>
    <t>7714</t>
  </si>
  <si>
    <t>pnk</t>
  </si>
  <si>
    <t>11120</t>
  </si>
  <si>
    <t>9/6</t>
  </si>
  <si>
    <t>92446+92451+92455+92449+92437+92442</t>
  </si>
  <si>
    <t>92440</t>
  </si>
  <si>
    <t>92453</t>
  </si>
  <si>
    <t>92450</t>
  </si>
  <si>
    <t>92477</t>
  </si>
  <si>
    <t>92438</t>
  </si>
  <si>
    <t>bhta</t>
  </si>
  <si>
    <t>11127</t>
  </si>
  <si>
    <t>gạo uni ghép mcc</t>
  </si>
  <si>
    <t>11126+92447</t>
  </si>
  <si>
    <t>92518</t>
  </si>
  <si>
    <t>10/6</t>
  </si>
  <si>
    <t>92520</t>
  </si>
  <si>
    <t>92469</t>
  </si>
  <si>
    <t>37422</t>
  </si>
  <si>
    <t>37417+92497</t>
  </si>
  <si>
    <t>37427</t>
  </si>
  <si>
    <t>11622+92490+92492</t>
  </si>
  <si>
    <t>92457</t>
  </si>
  <si>
    <t>92540</t>
  </si>
  <si>
    <t>sfood</t>
  </si>
  <si>
    <t>92511</t>
  </si>
  <si>
    <t>nda</t>
  </si>
  <si>
    <t>92417+92519</t>
  </si>
  <si>
    <t>92691+92688</t>
  </si>
  <si>
    <t>pnl</t>
  </si>
  <si>
    <t>92510</t>
  </si>
  <si>
    <t>pn</t>
  </si>
  <si>
    <t>92488</t>
  </si>
  <si>
    <t>dl</t>
  </si>
  <si>
    <t>92852</t>
  </si>
  <si>
    <t>.</t>
  </si>
  <si>
    <t>GHÉP P.CƯƠNG</t>
  </si>
  <si>
    <t>vhcc</t>
  </si>
  <si>
    <t>3ksch</t>
  </si>
  <si>
    <t>92929</t>
  </si>
  <si>
    <t>92932</t>
  </si>
  <si>
    <t>naicndn</t>
  </si>
  <si>
    <t>3075</t>
  </si>
  <si>
    <t>11171+92768</t>
  </si>
  <si>
    <t>GHÉP GẠO UNI</t>
  </si>
  <si>
    <t>mtap</t>
  </si>
  <si>
    <t>pgh+80092</t>
  </si>
  <si>
    <t>92956+92951</t>
  </si>
  <si>
    <t>11201+92966+92962+11712+92963</t>
  </si>
  <si>
    <t>92906</t>
  </si>
  <si>
    <t>92902</t>
  </si>
  <si>
    <t>92839+92867</t>
  </si>
  <si>
    <t>ntan</t>
  </si>
  <si>
    <t>92961</t>
  </si>
  <si>
    <t>atp</t>
  </si>
  <si>
    <t>93116+93113+93110+93103+93124+93105+93119</t>
  </si>
  <si>
    <t>11/6</t>
  </si>
  <si>
    <t>11214</t>
  </si>
  <si>
    <t>93129+93109+93117+93121</t>
  </si>
  <si>
    <t>bcal</t>
  </si>
  <si>
    <t>11222+11221</t>
  </si>
  <si>
    <t>inter</t>
  </si>
  <si>
    <t>93126</t>
  </si>
  <si>
    <t>93123</t>
  </si>
  <si>
    <t>93163+93162</t>
  </si>
  <si>
    <t>93145+37762</t>
  </si>
  <si>
    <t>nvc</t>
  </si>
  <si>
    <t>bbnh</t>
  </si>
  <si>
    <t>93175+93177</t>
  </si>
  <si>
    <t>7834</t>
  </si>
  <si>
    <t>XUẤT KHO UNI</t>
  </si>
  <si>
    <t>7835</t>
  </si>
  <si>
    <t>7831</t>
  </si>
  <si>
    <t>7838</t>
  </si>
  <si>
    <t>7844</t>
  </si>
  <si>
    <t>ddc</t>
  </si>
  <si>
    <t>93399+11786</t>
  </si>
  <si>
    <t>93370+93374</t>
  </si>
  <si>
    <t>11785+93397</t>
  </si>
  <si>
    <t>93383</t>
  </si>
  <si>
    <t>nv</t>
  </si>
  <si>
    <t>93391</t>
  </si>
  <si>
    <t>q8</t>
  </si>
  <si>
    <t>11248</t>
  </si>
  <si>
    <t>93426</t>
  </si>
  <si>
    <t>93454</t>
  </si>
  <si>
    <t>93485+93495+93499+93502+93507+11267</t>
  </si>
  <si>
    <t>11255</t>
  </si>
  <si>
    <t>93527+93483+93492+93498+93504+93506+93511+93519+93525+11800+11264+11265+93532+93538</t>
  </si>
  <si>
    <t>8589+8587</t>
  </si>
  <si>
    <t>93966+93960</t>
  </si>
  <si>
    <t>11328</t>
  </si>
  <si>
    <t>93968+93982+93974+93996+93979+11331</t>
  </si>
  <si>
    <t>93856+93851+93821+93918</t>
  </si>
  <si>
    <t>93854+93944+93934</t>
  </si>
  <si>
    <t>kre</t>
  </si>
  <si>
    <t>94052</t>
  </si>
  <si>
    <t>94010</t>
  </si>
  <si>
    <t>93872</t>
  </si>
  <si>
    <t>nhUONG</t>
  </si>
  <si>
    <t>93964</t>
  </si>
  <si>
    <t>11336+11866+93976</t>
  </si>
  <si>
    <t>94049+94048+94046+94041+94044+14381+94045+94040</t>
  </si>
  <si>
    <t>93909</t>
  </si>
  <si>
    <t>93884</t>
  </si>
  <si>
    <t>(pnk17bao qmk+jo+kim ke 11/6 ) + 94020+94009+94012</t>
  </si>
  <si>
    <t>11883</t>
  </si>
  <si>
    <t>94307</t>
  </si>
  <si>
    <t>94293</t>
  </si>
  <si>
    <t>94326</t>
  </si>
  <si>
    <t>94330</t>
  </si>
  <si>
    <t>94329</t>
  </si>
  <si>
    <t>94352</t>
  </si>
  <si>
    <t>94463+94468+94464+14484+94471+94478+94475+94473+94469</t>
  </si>
  <si>
    <t>94579+94569</t>
  </si>
  <si>
    <t>94588+94611+94583</t>
  </si>
  <si>
    <t>11479+94739+94743+14536+94744+94742</t>
  </si>
  <si>
    <t>94730+94727+94729</t>
  </si>
  <si>
    <t>94759</t>
  </si>
  <si>
    <t>94698</t>
  </si>
  <si>
    <t>94397+94427</t>
  </si>
  <si>
    <t>94657+94650+11453+94646</t>
  </si>
  <si>
    <t>n quốc</t>
  </si>
  <si>
    <t>gp 15483</t>
  </si>
  <si>
    <t>94732</t>
  </si>
  <si>
    <t>94705</t>
  </si>
  <si>
    <t>11486</t>
  </si>
  <si>
    <t>11488+11487</t>
  </si>
  <si>
    <t>TRẢ 226KG GẠO</t>
  </si>
  <si>
    <t>bcgv</t>
  </si>
  <si>
    <t>94833+94832+94831</t>
  </si>
  <si>
    <t>95019</t>
  </si>
  <si>
    <t>95021</t>
  </si>
  <si>
    <t>nct</t>
  </si>
  <si>
    <t>94828</t>
  </si>
  <si>
    <t>11988+94906+94898</t>
  </si>
  <si>
    <t>hub</t>
  </si>
  <si>
    <t>50H-55116 SX</t>
  </si>
  <si>
    <t>dqt</t>
  </si>
  <si>
    <t>SX 50H 69501</t>
  </si>
  <si>
    <t>95024</t>
  </si>
  <si>
    <t>95124+95131+95128+12007</t>
  </si>
  <si>
    <t>95188</t>
  </si>
  <si>
    <t>95166+95162</t>
  </si>
  <si>
    <t>abc</t>
  </si>
  <si>
    <t>95184</t>
  </si>
  <si>
    <t>95187</t>
  </si>
  <si>
    <t>vivi</t>
  </si>
  <si>
    <t>95009</t>
  </si>
  <si>
    <t>95191</t>
  </si>
  <si>
    <t>95206</t>
  </si>
  <si>
    <t>95010</t>
  </si>
  <si>
    <t>95278</t>
  </si>
  <si>
    <t>95266</t>
  </si>
  <si>
    <t>95282</t>
  </si>
  <si>
    <t>95257+12022+95252+</t>
  </si>
  <si>
    <t>95201</t>
  </si>
  <si>
    <t>95363</t>
  </si>
  <si>
    <t>95420</t>
  </si>
  <si>
    <t>95434</t>
  </si>
  <si>
    <t>95417</t>
  </si>
  <si>
    <t>95186</t>
  </si>
  <si>
    <t>95564</t>
  </si>
  <si>
    <t>nh</t>
  </si>
  <si>
    <t>11999</t>
  </si>
  <si>
    <t>95521+95526+95523+95524</t>
  </si>
  <si>
    <t>GHÉP NVC</t>
  </si>
  <si>
    <t>95555+95536+95534+95522+95533+95525+95528</t>
  </si>
  <si>
    <t>95567</t>
  </si>
  <si>
    <t>95486+95496+95491+95501+95479+14679+95481</t>
  </si>
  <si>
    <t>95475</t>
  </si>
  <si>
    <t>11605</t>
  </si>
  <si>
    <t>95623+95622</t>
  </si>
  <si>
    <t>95624+95630+95626+95627</t>
  </si>
  <si>
    <t>11614</t>
  </si>
  <si>
    <t>11615+11613</t>
  </si>
  <si>
    <t>95755+95740+95751</t>
  </si>
  <si>
    <t>95659+95658</t>
  </si>
  <si>
    <t>95667</t>
  </si>
  <si>
    <t>95673+95676</t>
  </si>
  <si>
    <t>95661</t>
  </si>
  <si>
    <t>12054+95662</t>
  </si>
  <si>
    <t>17/6</t>
  </si>
  <si>
    <t>SX 50H 54580</t>
  </si>
  <si>
    <t>95664</t>
  </si>
  <si>
    <t>95818</t>
  </si>
  <si>
    <t>95850</t>
  </si>
  <si>
    <t>95756</t>
  </si>
  <si>
    <t>18/6</t>
  </si>
  <si>
    <t>95743</t>
  </si>
  <si>
    <t>95981</t>
  </si>
  <si>
    <t>95975</t>
  </si>
  <si>
    <t>95982</t>
  </si>
  <si>
    <t>95980</t>
  </si>
  <si>
    <t>851</t>
  </si>
  <si>
    <t>852</t>
  </si>
  <si>
    <t>11663</t>
  </si>
  <si>
    <t>11660+11659</t>
  </si>
  <si>
    <t>96204+96200</t>
  </si>
  <si>
    <t>11666+96143</t>
  </si>
  <si>
    <t>96101</t>
  </si>
  <si>
    <t>11665</t>
  </si>
  <si>
    <t>lệnh chuyển hàng</t>
  </si>
  <si>
    <t>11711</t>
  </si>
  <si>
    <t>11712+11713</t>
  </si>
  <si>
    <t>96319</t>
  </si>
  <si>
    <t>96321</t>
  </si>
  <si>
    <t>96322</t>
  </si>
  <si>
    <t>GIAO NHÀ BÈ</t>
  </si>
  <si>
    <t>96318</t>
  </si>
  <si>
    <t>11719</t>
  </si>
  <si>
    <t>GIAO CN</t>
  </si>
  <si>
    <t>12254</t>
  </si>
  <si>
    <t>8153</t>
  </si>
  <si>
    <t>11727</t>
  </si>
  <si>
    <t>11728</t>
  </si>
  <si>
    <t>11729</t>
  </si>
  <si>
    <t>96560</t>
  </si>
  <si>
    <t>96581+96580+96575+96583+12239</t>
  </si>
  <si>
    <t>GHÉP SSG</t>
  </si>
  <si>
    <t>BBNH THU HỒI+96536</t>
  </si>
  <si>
    <t>GHÉP HÀNG THU HỒI</t>
  </si>
  <si>
    <t>96504</t>
  </si>
  <si>
    <t>96502</t>
  </si>
  <si>
    <t>96525</t>
  </si>
  <si>
    <t>19/6</t>
  </si>
  <si>
    <t>96505</t>
  </si>
  <si>
    <t>96506</t>
  </si>
  <si>
    <t>96588</t>
  </si>
  <si>
    <t>CHÀNH</t>
  </si>
  <si>
    <t>96516</t>
  </si>
  <si>
    <t>OCM</t>
  </si>
  <si>
    <t>96534</t>
  </si>
  <si>
    <t>96565</t>
  </si>
  <si>
    <t>hổ trợ</t>
  </si>
  <si>
    <t>96570</t>
  </si>
  <si>
    <t>96573+</t>
  </si>
  <si>
    <t>96648+12258</t>
  </si>
  <si>
    <t>96803</t>
  </si>
  <si>
    <t>867</t>
  </si>
  <si>
    <t>11763</t>
  </si>
  <si>
    <t>96951+96911+BBNH</t>
  </si>
  <si>
    <t>11765+11767+11766+96884+96878+96872+96862+96846+96840+96837+96834+96827+96891+96888+96895</t>
  </si>
  <si>
    <t>PGH + BBNH 1 BAO GẠO ĐIÊN KHÁNH</t>
  </si>
  <si>
    <t>vhbd</t>
  </si>
  <si>
    <t>11820</t>
  </si>
  <si>
    <t>11821</t>
  </si>
  <si>
    <t>11818+11817</t>
  </si>
  <si>
    <t>11829+11830</t>
  </si>
  <si>
    <t>GẠO UNI ghép nvc</t>
  </si>
  <si>
    <t>a dUNG</t>
  </si>
  <si>
    <t>120KG GẠO ĐỔI</t>
  </si>
  <si>
    <t>97207+97210+97213</t>
  </si>
  <si>
    <t>97206</t>
  </si>
  <si>
    <t>97307</t>
  </si>
  <si>
    <t>97218</t>
  </si>
  <si>
    <t>HỐ NAI</t>
  </si>
  <si>
    <t>97220</t>
  </si>
  <si>
    <t>97211</t>
  </si>
  <si>
    <t>97235</t>
  </si>
  <si>
    <t>tnf</t>
  </si>
  <si>
    <t>y tHANH</t>
  </si>
  <si>
    <t>39311+</t>
  </si>
  <si>
    <t>97236</t>
  </si>
  <si>
    <t>12353</t>
  </si>
  <si>
    <t>nsg</t>
  </si>
  <si>
    <t>97655</t>
  </si>
  <si>
    <t>97654</t>
  </si>
  <si>
    <t>97568</t>
  </si>
  <si>
    <t>97616</t>
  </si>
  <si>
    <t>SX 66445+16461+88294</t>
  </si>
  <si>
    <t>97583</t>
  </si>
  <si>
    <t>97623</t>
  </si>
  <si>
    <t>NDFC 50H 50999 SX</t>
  </si>
  <si>
    <t>97761+97733</t>
  </si>
  <si>
    <t>97786+97806</t>
  </si>
  <si>
    <t>BBNH+8982</t>
  </si>
  <si>
    <t>11889</t>
  </si>
  <si>
    <t>11902+11903+11904</t>
  </si>
  <si>
    <t>11892+11891</t>
  </si>
  <si>
    <t>11890</t>
  </si>
  <si>
    <t>11899+98163+98158+98153</t>
  </si>
  <si>
    <t>98061+98066+11895</t>
  </si>
  <si>
    <t>98287+98307</t>
  </si>
  <si>
    <t>98242+98258+98245+98249+11934+98253</t>
  </si>
  <si>
    <t>GHÉP STVVK</t>
  </si>
  <si>
    <t>98076</t>
  </si>
  <si>
    <t>98064</t>
  </si>
  <si>
    <t>50H 55116 SX</t>
  </si>
  <si>
    <t>at</t>
  </si>
  <si>
    <t>98155</t>
  </si>
  <si>
    <t>12559+98475+98457+98469+98460</t>
  </si>
  <si>
    <t>HÀN XE</t>
  </si>
  <si>
    <t>98270+12531</t>
  </si>
  <si>
    <t>vp</t>
  </si>
  <si>
    <t>12580+98638</t>
  </si>
  <si>
    <t>98652+11985+98658</t>
  </si>
  <si>
    <t>98435+98432</t>
  </si>
  <si>
    <t>98672</t>
  </si>
  <si>
    <t>98570</t>
  </si>
  <si>
    <t>98575</t>
  </si>
  <si>
    <t>98680</t>
  </si>
  <si>
    <t>98631</t>
  </si>
  <si>
    <t>dng</t>
  </si>
  <si>
    <t>98565+98562</t>
  </si>
  <si>
    <t>98700+11999+12589+98693+98697+98713+98687+12588+98724+98704</t>
  </si>
  <si>
    <t>12583+12000+12002+98674</t>
  </si>
  <si>
    <t>12594+98779+98804+98774+98790+98776+12003+98769+98783+98785+98796</t>
  </si>
  <si>
    <t>ltgv</t>
  </si>
  <si>
    <t>12071+12070</t>
  </si>
  <si>
    <t>12072+12073</t>
  </si>
  <si>
    <t>12065+12064</t>
  </si>
  <si>
    <t>1385</t>
  </si>
  <si>
    <t>99161</t>
  </si>
  <si>
    <t>99208</t>
  </si>
  <si>
    <t>99174</t>
  </si>
  <si>
    <t>ltan</t>
  </si>
  <si>
    <t>99337</t>
  </si>
  <si>
    <t>99153</t>
  </si>
  <si>
    <t>tab</t>
  </si>
  <si>
    <t>99491</t>
  </si>
  <si>
    <t>99605+12726</t>
  </si>
  <si>
    <t>hdqt</t>
  </si>
  <si>
    <t>99470</t>
  </si>
  <si>
    <t>hcvm</t>
  </si>
  <si>
    <t>99474</t>
  </si>
  <si>
    <t>99485</t>
  </si>
  <si>
    <t>99472</t>
  </si>
  <si>
    <t>vtv</t>
  </si>
  <si>
    <t>99600</t>
  </si>
  <si>
    <t>99506</t>
  </si>
  <si>
    <t>rb</t>
  </si>
  <si>
    <t>loNG</t>
  </si>
  <si>
    <t>99536</t>
  </si>
  <si>
    <t>bbnh+9132+9131</t>
  </si>
  <si>
    <t>UNI SX 50H 86564</t>
  </si>
  <si>
    <t xml:space="preserve">uni 50H 66445 sx GHÉP MCC </t>
  </si>
  <si>
    <t>UNI GHÉP MCC</t>
  </si>
  <si>
    <t>50E 164,61 SX</t>
  </si>
  <si>
    <t>SX 50H-74619</t>
  </si>
  <si>
    <t>tm</t>
  </si>
  <si>
    <t>CHÀNH CHỊ CƠ</t>
  </si>
  <si>
    <t>KP</t>
  </si>
  <si>
    <t>CHÀNH TRUNG NAM</t>
  </si>
  <si>
    <t>clmBC</t>
  </si>
  <si>
    <t>CHÀNH THANH NGỌC</t>
  </si>
  <si>
    <t>chi phí</t>
  </si>
  <si>
    <t>Lương :</t>
  </si>
  <si>
    <t>CP PHỤ</t>
  </si>
  <si>
    <t>Tạm ứng:</t>
  </si>
  <si>
    <t>Nợ :</t>
  </si>
  <si>
    <t>BHXH</t>
  </si>
  <si>
    <t>Còn :</t>
  </si>
  <si>
    <t>KÊ CHI TIẾT XE LỚN</t>
  </si>
  <si>
    <t>SỐ XE :</t>
  </si>
  <si>
    <t>STT</t>
  </si>
  <si>
    <t>Mã</t>
  </si>
  <si>
    <t>Tên TX</t>
  </si>
  <si>
    <t>Số Xe</t>
  </si>
  <si>
    <t>Đổ Dầu</t>
  </si>
  <si>
    <t>SỐ KM</t>
  </si>
  <si>
    <t>C.Phí lấy hàng</t>
  </si>
  <si>
    <t>C.phí tài xế</t>
  </si>
  <si>
    <t>LƯƠNG LX</t>
  </si>
  <si>
    <t>q8x</t>
  </si>
  <si>
    <t>l2 mến</t>
  </si>
  <si>
    <t>CLUNI</t>
  </si>
  <si>
    <t>ajlh</t>
  </si>
  <si>
    <t>ne7</t>
  </si>
  <si>
    <t>q6p</t>
  </si>
  <si>
    <t>ndna</t>
  </si>
  <si>
    <t>naun</t>
  </si>
  <si>
    <t>tlp</t>
  </si>
  <si>
    <t>l3 HOÀ</t>
  </si>
  <si>
    <t>q8p</t>
  </si>
  <si>
    <t>pmvp</t>
  </si>
  <si>
    <t>l1 THÀNH</t>
  </si>
  <si>
    <t>ug</t>
  </si>
  <si>
    <t>q9p</t>
  </si>
  <si>
    <t>lkx</t>
  </si>
  <si>
    <t>joxl</t>
  </si>
  <si>
    <t>tổng</t>
  </si>
  <si>
    <t>LƯƠNG</t>
  </si>
  <si>
    <t>10% doanh thu</t>
  </si>
  <si>
    <t>tiền cơm</t>
  </si>
  <si>
    <t>chi phí xe</t>
  </si>
  <si>
    <t xml:space="preserve">THÀNH </t>
  </si>
  <si>
    <t>HÒA</t>
  </si>
  <si>
    <t>TẠM ỨNG</t>
  </si>
  <si>
    <t xml:space="preserve">MINH </t>
  </si>
  <si>
    <t>Còn Lại</t>
  </si>
  <si>
    <t>QUẬY</t>
  </si>
  <si>
    <t xml:space="preserve">PHƯƠNG </t>
  </si>
  <si>
    <t>KHANG</t>
  </si>
  <si>
    <t>TỔNG :</t>
  </si>
  <si>
    <t>PHƯƠNG</t>
  </si>
  <si>
    <t>ÂN</t>
  </si>
  <si>
    <t>HOÀNG</t>
  </si>
  <si>
    <t>HẢI</t>
  </si>
  <si>
    <t>Cầu đường</t>
  </si>
  <si>
    <t>CLF</t>
  </si>
  <si>
    <t>CALO</t>
  </si>
  <si>
    <t>m6</t>
  </si>
  <si>
    <t>Tổng cộng :</t>
  </si>
  <si>
    <t>176.89</t>
  </si>
  <si>
    <t>tiên cơm</t>
  </si>
  <si>
    <t>ứng</t>
  </si>
  <si>
    <t>còn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</si>
</sst>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&quot;THÁNG &quot;mm/yyyy"/>
  </numFmts>
  <fonts count="60">
    <font>
      <sz val="10"/>
      <color rgb="FF000000"/>
      <name val="Arial"/>
      <scheme val="minor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10"/>
      <color rgb="FF0000FF"/>
      <name val="&quot;Times New Roman&quot;"/>
    </font>
    <font>
      <sz val="12"/>
      <color rgb="FF0000FF"/>
      <name val="Times New Roman"/>
      <family val="1"/>
    </font>
    <font>
      <sz val="10"/>
      <color theme="1"/>
      <name val="&quot;Times New Roman&quot;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sz val="10"/>
      <color theme="1"/>
      <name val="Times New Roman"/>
      <family val="1"/>
    </font>
    <font>
      <sz val="11"/>
      <color rgb="FF000000"/>
      <name val="Arial"/>
      <family val="2"/>
    </font>
    <font>
      <b/>
      <sz val="10"/>
      <color theme="1"/>
      <name val="&quot;Times New Roman&quot;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&quot;Times New Roman&quot;"/>
    </font>
    <font>
      <b/>
      <sz val="9"/>
      <color theme="1"/>
      <name val="&quot;Times New Roman&quot;"/>
    </font>
    <font>
      <i/>
      <sz val="11"/>
      <color theme="1"/>
      <name val="&quot;Times New Roman&quot;"/>
    </font>
    <font>
      <sz val="9"/>
      <color theme="1"/>
      <name val="&quot;Times New Roman&quot;"/>
    </font>
    <font>
      <b/>
      <i/>
      <sz val="11"/>
      <color theme="1"/>
      <name val="&quot;Times New Roman&quot;"/>
    </font>
    <font>
      <i/>
      <sz val="9"/>
      <color theme="1"/>
      <name val="&quot;Times New Roman&quot;"/>
    </font>
    <font>
      <b/>
      <sz val="16"/>
      <color rgb="FFFFFFFF"/>
      <name val="&quot;Times New Roman&quot;"/>
    </font>
    <font>
      <b/>
      <u/>
      <sz val="9"/>
      <color theme="1"/>
      <name val="&quot;Times New Roman&quot;"/>
    </font>
    <font>
      <b/>
      <u/>
      <sz val="11"/>
      <color theme="1"/>
      <name val="&quot;Times New Roman&quot;"/>
    </font>
    <font>
      <sz val="10"/>
      <name val="Arial"/>
      <family val="2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b/>
      <sz val="9"/>
      <color rgb="FFFFFFFF"/>
      <name val="&quot;Times New Roman&quot;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000000"/>
      <name val="&quot;Times New Roman&quot;"/>
    </font>
    <font>
      <sz val="11"/>
      <color rgb="FF4A86E8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&quot;Times New Roman&quot;"/>
    </font>
    <font>
      <sz val="11"/>
      <color rgb="FF0000CC"/>
      <name val="&quot;Times New Roman&quot;"/>
    </font>
    <font>
      <sz val="11"/>
      <color theme="1"/>
      <name val="&quot;Times New Roman&quot;"/>
    </font>
    <font>
      <sz val="14"/>
      <color theme="1"/>
      <name val="&quot;Times New Roman&quot;"/>
    </font>
    <font>
      <b/>
      <sz val="14"/>
      <color theme="1"/>
      <name val="&quot;Times New Roman&quot;"/>
    </font>
    <font>
      <sz val="12"/>
      <color rgb="FF000000"/>
      <name val="Arial"/>
      <family val="2"/>
    </font>
    <font>
      <b/>
      <i/>
      <sz val="12"/>
      <color rgb="FF000000"/>
      <name val="&quot;\0022Times New Roman\0022&quot;"/>
    </font>
    <font>
      <b/>
      <sz val="12"/>
      <color rgb="FF000000"/>
      <name val="&quot;\0022Times New Roman\0022&quot;"/>
    </font>
    <font>
      <sz val="12"/>
      <color theme="1"/>
      <name val="Arial"/>
      <family val="2"/>
    </font>
    <font>
      <b/>
      <i/>
      <sz val="12"/>
      <color theme="1"/>
      <name val="&quot;Times New Roman&quot;"/>
    </font>
    <font>
      <b/>
      <u/>
      <sz val="12"/>
      <color rgb="FF000000"/>
      <name val="&quot;\0022Times New Roman\0022&quot;"/>
    </font>
    <font>
      <b/>
      <sz val="12"/>
      <color rgb="FFFFFFFF"/>
      <name val="&quot;\0022Times New Roman\0022&quot;"/>
    </font>
    <font>
      <i/>
      <sz val="12"/>
      <color rgb="FF000000"/>
      <name val="&quot;\0022Times New Roman\0022&quot;"/>
    </font>
    <font>
      <sz val="12"/>
      <color rgb="FFFFFFFF"/>
      <name val="&quot;\0022Times New Roman\0022&quot;"/>
    </font>
    <font>
      <sz val="11"/>
      <color rgb="FF0000CC"/>
      <name val="&quot;\0022Times New Roman\0022&quot;"/>
    </font>
    <font>
      <sz val="11"/>
      <color rgb="FF000000"/>
      <name val="&quot;\0022Times New Roman\0022&quot;"/>
    </font>
    <font>
      <sz val="12"/>
      <color rgb="FF000000"/>
      <name val="&quot;\0022Times New Roman\0022&quot;"/>
    </font>
    <font>
      <sz val="10"/>
      <color rgb="FF000000"/>
      <name val="Arial"/>
      <family val="2"/>
    </font>
    <font>
      <sz val="11"/>
      <color rgb="FF0000CC"/>
      <name val="Arial"/>
      <family val="2"/>
    </font>
    <font>
      <sz val="12"/>
      <color rgb="FF0000CC"/>
      <name val="Times New Roman"/>
      <family val="1"/>
    </font>
    <font>
      <sz val="12"/>
      <color rgb="FF0000CC"/>
      <name val="&quot;Times New Roman&quot;"/>
    </font>
    <font>
      <b/>
      <u/>
      <sz val="12"/>
      <color rgb="FF000000"/>
      <name val="&quot;\0022Times New Roman\0022&quot;"/>
    </font>
    <font>
      <sz val="10"/>
      <color theme="1"/>
      <name val="&quot;Times New Roman&quot;, serif"/>
    </font>
    <font>
      <b/>
      <sz val="10"/>
      <color theme="1"/>
      <name val="&quot;Times New Roman&quot;, serif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00FF00"/>
        <bgColor rgb="FF00FF00"/>
      </patternFill>
    </fill>
    <fill>
      <patternFill patternType="solid">
        <fgColor rgb="FFACB9CA"/>
        <bgColor rgb="FFACB9CA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7CEB99"/>
        <bgColor rgb="FF7CEB99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11" fontId="4" fillId="2" borderId="4" xfId="0" applyNumberFormat="1" applyFont="1" applyFill="1" applyBorder="1"/>
    <xf numFmtId="0" fontId="2" fillId="0" borderId="1" xfId="0" applyFont="1" applyBorder="1" applyAlignment="1">
      <alignment horizontal="center"/>
    </xf>
    <xf numFmtId="3" fontId="2" fillId="0" borderId="5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3" fontId="5" fillId="3" borderId="4" xfId="0" applyNumberFormat="1" applyFont="1" applyFill="1" applyBorder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/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3" fontId="5" fillId="4" borderId="4" xfId="0" applyNumberFormat="1" applyFont="1" applyFill="1" applyBorder="1"/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/>
    <xf numFmtId="0" fontId="6" fillId="0" borderId="0" xfId="0" applyFont="1"/>
    <xf numFmtId="0" fontId="6" fillId="3" borderId="0" xfId="0" applyFont="1" applyFill="1"/>
    <xf numFmtId="0" fontId="7" fillId="6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/>
    <xf numFmtId="0" fontId="5" fillId="3" borderId="4" xfId="0" quotePrefix="1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3" fontId="5" fillId="3" borderId="0" xfId="0" applyNumberFormat="1" applyFont="1" applyFill="1"/>
    <xf numFmtId="0" fontId="8" fillId="5" borderId="4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6" fillId="6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/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/>
    <xf numFmtId="0" fontId="5" fillId="10" borderId="3" xfId="0" applyFont="1" applyFill="1" applyBorder="1" applyAlignment="1">
      <alignment horizontal="center"/>
    </xf>
    <xf numFmtId="0" fontId="5" fillId="10" borderId="4" xfId="0" applyFont="1" applyFill="1" applyBorder="1"/>
    <xf numFmtId="3" fontId="5" fillId="10" borderId="4" xfId="0" applyNumberFormat="1" applyFont="1" applyFill="1" applyBorder="1"/>
    <xf numFmtId="0" fontId="6" fillId="10" borderId="0" xfId="0" applyFont="1" applyFill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/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/>
    <xf numFmtId="0" fontId="5" fillId="12" borderId="3" xfId="0" applyFont="1" applyFill="1" applyBorder="1" applyAlignment="1">
      <alignment horizontal="center"/>
    </xf>
    <xf numFmtId="0" fontId="5" fillId="12" borderId="4" xfId="0" applyFont="1" applyFill="1" applyBorder="1"/>
    <xf numFmtId="0" fontId="5" fillId="13" borderId="3" xfId="0" applyFont="1" applyFill="1" applyBorder="1" applyAlignment="1">
      <alignment horizontal="center"/>
    </xf>
    <xf numFmtId="0" fontId="5" fillId="13" borderId="4" xfId="0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3" fontId="10" fillId="3" borderId="4" xfId="0" applyNumberFormat="1" applyFont="1" applyFill="1" applyBorder="1"/>
    <xf numFmtId="0" fontId="10" fillId="0" borderId="0" xfId="0" applyFont="1"/>
    <xf numFmtId="3" fontId="10" fillId="0" borderId="0" xfId="0" applyNumberFormat="1" applyFont="1"/>
    <xf numFmtId="0" fontId="10" fillId="0" borderId="0" xfId="0" applyFont="1" applyAlignment="1">
      <alignment horizontal="center"/>
    </xf>
    <xf numFmtId="3" fontId="11" fillId="0" borderId="0" xfId="0" applyNumberFormat="1" applyFont="1" applyAlignment="1">
      <alignment horizontal="right"/>
    </xf>
    <xf numFmtId="3" fontId="12" fillId="0" borderId="0" xfId="0" applyNumberFormat="1" applyFont="1"/>
    <xf numFmtId="3" fontId="11" fillId="3" borderId="0" xfId="0" applyNumberFormat="1" applyFont="1" applyFill="1" applyAlignment="1">
      <alignment horizontal="right"/>
    </xf>
    <xf numFmtId="3" fontId="11" fillId="2" borderId="0" xfId="0" applyNumberFormat="1" applyFont="1" applyFill="1" applyAlignment="1">
      <alignment horizontal="right"/>
    </xf>
    <xf numFmtId="3" fontId="6" fillId="0" borderId="0" xfId="0" applyNumberFormat="1" applyFont="1"/>
    <xf numFmtId="0" fontId="13" fillId="0" borderId="0" xfId="0" applyFont="1" applyAlignment="1">
      <alignment horizontal="left"/>
    </xf>
    <xf numFmtId="164" fontId="13" fillId="0" borderId="0" xfId="0" applyNumberFormat="1" applyFont="1"/>
    <xf numFmtId="164" fontId="15" fillId="0" borderId="0" xfId="0" applyNumberFormat="1" applyFont="1"/>
    <xf numFmtId="0" fontId="17" fillId="0" borderId="0" xfId="0" applyFont="1"/>
    <xf numFmtId="164" fontId="17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164" fontId="13" fillId="0" borderId="0" xfId="0" applyNumberFormat="1" applyFont="1" applyAlignment="1">
      <alignment horizontal="center"/>
    </xf>
    <xf numFmtId="0" fontId="15" fillId="0" borderId="0" xfId="0" applyFont="1"/>
    <xf numFmtId="164" fontId="20" fillId="0" borderId="0" xfId="0" applyNumberFormat="1" applyFont="1"/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8" xfId="0" applyFont="1" applyBorder="1" applyAlignment="1">
      <alignment horizontal="left"/>
    </xf>
    <xf numFmtId="164" fontId="24" fillId="0" borderId="8" xfId="0" applyNumberFormat="1" applyFont="1" applyBorder="1" applyAlignment="1">
      <alignment horizontal="center"/>
    </xf>
    <xf numFmtId="0" fontId="25" fillId="0" borderId="8" xfId="0" applyFont="1" applyBorder="1"/>
    <xf numFmtId="0" fontId="25" fillId="0" borderId="8" xfId="0" applyFont="1" applyBorder="1" applyAlignment="1">
      <alignment horizontal="left"/>
    </xf>
    <xf numFmtId="0" fontId="23" fillId="0" borderId="8" xfId="0" applyFont="1" applyBorder="1"/>
    <xf numFmtId="0" fontId="24" fillId="0" borderId="8" xfId="0" applyFont="1" applyBorder="1"/>
    <xf numFmtId="3" fontId="24" fillId="0" borderId="8" xfId="0" applyNumberFormat="1" applyFont="1" applyBorder="1"/>
    <xf numFmtId="4" fontId="24" fillId="0" borderId="8" xfId="0" applyNumberFormat="1" applyFont="1" applyBorder="1"/>
    <xf numFmtId="0" fontId="23" fillId="0" borderId="8" xfId="0" applyFont="1" applyBorder="1" applyAlignment="1">
      <alignment horizontal="center"/>
    </xf>
    <xf numFmtId="0" fontId="2" fillId="0" borderId="1" xfId="0" applyFont="1" applyBorder="1"/>
    <xf numFmtId="0" fontId="13" fillId="10" borderId="0" xfId="0" applyFont="1" applyFill="1" applyAlignment="1">
      <alignment horizontal="center"/>
    </xf>
    <xf numFmtId="0" fontId="13" fillId="10" borderId="9" xfId="0" applyFont="1" applyFill="1" applyBorder="1" applyAlignment="1">
      <alignment horizontal="center"/>
    </xf>
    <xf numFmtId="0" fontId="14" fillId="10" borderId="9" xfId="0" applyFont="1" applyFill="1" applyBorder="1" applyAlignment="1">
      <alignment horizontal="center"/>
    </xf>
    <xf numFmtId="164" fontId="14" fillId="10" borderId="9" xfId="0" applyNumberFormat="1" applyFont="1" applyFill="1" applyBorder="1" applyAlignment="1">
      <alignment horizontal="center"/>
    </xf>
    <xf numFmtId="0" fontId="14" fillId="10" borderId="9" xfId="0" applyFont="1" applyFill="1" applyBorder="1" applyAlignment="1">
      <alignment horizontal="left"/>
    </xf>
    <xf numFmtId="0" fontId="13" fillId="10" borderId="9" xfId="0" applyFont="1" applyFill="1" applyBorder="1"/>
    <xf numFmtId="3" fontId="13" fillId="10" borderId="9" xfId="0" applyNumberFormat="1" applyFont="1" applyFill="1" applyBorder="1" applyAlignment="1">
      <alignment horizontal="center"/>
    </xf>
    <xf numFmtId="4" fontId="13" fillId="10" borderId="9" xfId="0" applyNumberFormat="1" applyFont="1" applyFill="1" applyBorder="1" applyAlignment="1">
      <alignment horizontal="center"/>
    </xf>
    <xf numFmtId="9" fontId="6" fillId="3" borderId="0" xfId="0" applyNumberFormat="1" applyFont="1" applyFill="1"/>
    <xf numFmtId="0" fontId="26" fillId="3" borderId="0" xfId="0" applyFont="1" applyFill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164" fontId="26" fillId="3" borderId="4" xfId="0" applyNumberFormat="1" applyFont="1" applyFill="1" applyBorder="1" applyAlignment="1">
      <alignment horizontal="center"/>
    </xf>
    <xf numFmtId="0" fontId="26" fillId="3" borderId="4" xfId="0" applyFont="1" applyFill="1" applyBorder="1"/>
    <xf numFmtId="49" fontId="27" fillId="3" borderId="3" xfId="0" applyNumberFormat="1" applyFont="1" applyFill="1" applyBorder="1" applyAlignment="1">
      <alignment horizontal="right"/>
    </xf>
    <xf numFmtId="49" fontId="28" fillId="3" borderId="4" xfId="0" applyNumberFormat="1" applyFont="1" applyFill="1" applyBorder="1" applyAlignment="1">
      <alignment horizontal="center"/>
    </xf>
    <xf numFmtId="3" fontId="26" fillId="3" borderId="4" xfId="0" applyNumberFormat="1" applyFont="1" applyFill="1" applyBorder="1"/>
    <xf numFmtId="0" fontId="26" fillId="4" borderId="4" xfId="0" applyFont="1" applyFill="1" applyBorder="1" applyAlignment="1">
      <alignment horizontal="center"/>
    </xf>
    <xf numFmtId="4" fontId="26" fillId="3" borderId="3" xfId="0" applyNumberFormat="1" applyFont="1" applyFill="1" applyBorder="1"/>
    <xf numFmtId="3" fontId="27" fillId="3" borderId="4" xfId="0" applyNumberFormat="1" applyFont="1" applyFill="1" applyBorder="1"/>
    <xf numFmtId="3" fontId="29" fillId="2" borderId="4" xfId="0" applyNumberFormat="1" applyFont="1" applyFill="1" applyBorder="1"/>
    <xf numFmtId="9" fontId="26" fillId="8" borderId="0" xfId="0" applyNumberFormat="1" applyFont="1" applyFill="1"/>
    <xf numFmtId="0" fontId="26" fillId="3" borderId="0" xfId="0" applyFont="1" applyFill="1"/>
    <xf numFmtId="0" fontId="26" fillId="2" borderId="0" xfId="0" applyFont="1" applyFill="1"/>
    <xf numFmtId="4" fontId="26" fillId="6" borderId="3" xfId="0" applyNumberFormat="1" applyFont="1" applyFill="1" applyBorder="1"/>
    <xf numFmtId="3" fontId="27" fillId="6" borderId="4" xfId="0" applyNumberFormat="1" applyFont="1" applyFill="1" applyBorder="1"/>
    <xf numFmtId="11" fontId="26" fillId="3" borderId="4" xfId="0" applyNumberFormat="1" applyFont="1" applyFill="1" applyBorder="1" applyAlignment="1">
      <alignment horizontal="center"/>
    </xf>
    <xf numFmtId="49" fontId="30" fillId="3" borderId="4" xfId="0" applyNumberFormat="1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164" fontId="26" fillId="2" borderId="4" xfId="0" applyNumberFormat="1" applyFont="1" applyFill="1" applyBorder="1" applyAlignment="1">
      <alignment horizontal="center"/>
    </xf>
    <xf numFmtId="0" fontId="26" fillId="2" borderId="4" xfId="0" applyFont="1" applyFill="1" applyBorder="1"/>
    <xf numFmtId="49" fontId="27" fillId="2" borderId="3" xfId="0" applyNumberFormat="1" applyFont="1" applyFill="1" applyBorder="1" applyAlignment="1">
      <alignment horizontal="right"/>
    </xf>
    <xf numFmtId="49" fontId="28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/>
    <xf numFmtId="4" fontId="26" fillId="2" borderId="3" xfId="0" applyNumberFormat="1" applyFont="1" applyFill="1" applyBorder="1"/>
    <xf numFmtId="3" fontId="27" fillId="2" borderId="4" xfId="0" applyNumberFormat="1" applyFont="1" applyFill="1" applyBorder="1"/>
    <xf numFmtId="0" fontId="26" fillId="12" borderId="4" xfId="0" applyFont="1" applyFill="1" applyBorder="1" applyAlignment="1">
      <alignment horizontal="center"/>
    </xf>
    <xf numFmtId="0" fontId="31" fillId="4" borderId="4" xfId="0" applyFont="1" applyFill="1" applyBorder="1" applyAlignment="1">
      <alignment horizontal="center"/>
    </xf>
    <xf numFmtId="0" fontId="31" fillId="14" borderId="4" xfId="0" applyFont="1" applyFill="1" applyBorder="1" applyAlignment="1">
      <alignment horizontal="center"/>
    </xf>
    <xf numFmtId="3" fontId="26" fillId="6" borderId="4" xfId="0" applyNumberFormat="1" applyFont="1" applyFill="1" applyBorder="1"/>
    <xf numFmtId="0" fontId="26" fillId="6" borderId="4" xfId="0" applyFont="1" applyFill="1" applyBorder="1"/>
    <xf numFmtId="0" fontId="31" fillId="6" borderId="4" xfId="0" applyFont="1" applyFill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6" fillId="15" borderId="4" xfId="0" applyFont="1" applyFill="1" applyBorder="1" applyAlignment="1">
      <alignment horizontal="center"/>
    </xf>
    <xf numFmtId="49" fontId="32" fillId="16" borderId="3" xfId="0" applyNumberFormat="1" applyFont="1" applyFill="1" applyBorder="1" applyAlignment="1">
      <alignment horizontal="right"/>
    </xf>
    <xf numFmtId="0" fontId="33" fillId="15" borderId="4" xfId="0" applyFont="1" applyFill="1" applyBorder="1" applyAlignment="1">
      <alignment horizontal="center"/>
    </xf>
    <xf numFmtId="49" fontId="34" fillId="16" borderId="3" xfId="0" applyNumberFormat="1" applyFont="1" applyFill="1" applyBorder="1" applyAlignment="1">
      <alignment horizontal="right"/>
    </xf>
    <xf numFmtId="0" fontId="29" fillId="3" borderId="3" xfId="0" applyFont="1" applyFill="1" applyBorder="1" applyAlignment="1">
      <alignment horizontal="center"/>
    </xf>
    <xf numFmtId="165" fontId="26" fillId="17" borderId="0" xfId="0" applyNumberFormat="1" applyFont="1" applyFill="1"/>
    <xf numFmtId="0" fontId="35" fillId="4" borderId="4" xfId="0" applyFont="1" applyFill="1" applyBorder="1" applyAlignment="1">
      <alignment horizontal="center"/>
    </xf>
    <xf numFmtId="3" fontId="29" fillId="18" borderId="4" xfId="0" applyNumberFormat="1" applyFont="1" applyFill="1" applyBorder="1"/>
    <xf numFmtId="0" fontId="33" fillId="4" borderId="4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4" fontId="29" fillId="3" borderId="1" xfId="0" applyNumberFormat="1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36" fillId="3" borderId="1" xfId="0" applyFont="1" applyFill="1" applyBorder="1"/>
    <xf numFmtId="0" fontId="14" fillId="3" borderId="2" xfId="0" applyFont="1" applyFill="1" applyBorder="1" applyAlignment="1">
      <alignment horizontal="left"/>
    </xf>
    <xf numFmtId="3" fontId="2" fillId="3" borderId="2" xfId="0" applyNumberFormat="1" applyFont="1" applyFill="1" applyBorder="1"/>
    <xf numFmtId="0" fontId="26" fillId="3" borderId="1" xfId="0" applyFont="1" applyFill="1" applyBorder="1" applyAlignment="1">
      <alignment horizontal="center"/>
    </xf>
    <xf numFmtId="0" fontId="37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6" fillId="3" borderId="0" xfId="0" applyNumberFormat="1" applyFont="1" applyFill="1" applyAlignment="1">
      <alignment horizontal="center"/>
    </xf>
    <xf numFmtId="0" fontId="38" fillId="3" borderId="1" xfId="0" applyFont="1" applyFill="1" applyBorder="1" applyAlignment="1">
      <alignment horizontal="center"/>
    </xf>
    <xf numFmtId="3" fontId="1" fillId="3" borderId="2" xfId="0" applyNumberFormat="1" applyFont="1" applyFill="1" applyBorder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38" fillId="3" borderId="0" xfId="0" applyFont="1" applyFill="1"/>
    <xf numFmtId="3" fontId="1" fillId="3" borderId="0" xfId="0" applyNumberFormat="1" applyFont="1" applyFill="1"/>
    <xf numFmtId="4" fontId="2" fillId="3" borderId="0" xfId="0" applyNumberFormat="1" applyFont="1" applyFill="1"/>
    <xf numFmtId="0" fontId="2" fillId="3" borderId="0" xfId="0" applyFont="1" applyFill="1"/>
    <xf numFmtId="0" fontId="38" fillId="3" borderId="10" xfId="0" applyFont="1" applyFill="1" applyBorder="1" applyAlignment="1">
      <alignment horizontal="center"/>
    </xf>
    <xf numFmtId="3" fontId="1" fillId="3" borderId="11" xfId="0" applyNumberFormat="1" applyFont="1" applyFill="1" applyBorder="1"/>
    <xf numFmtId="0" fontId="13" fillId="3" borderId="0" xfId="0" applyFont="1" applyFill="1"/>
    <xf numFmtId="0" fontId="2" fillId="3" borderId="0" xfId="0" applyFont="1" applyFill="1" applyAlignment="1">
      <alignment horizontal="left"/>
    </xf>
    <xf numFmtId="4" fontId="1" fillId="3" borderId="0" xfId="0" applyNumberFormat="1" applyFont="1" applyFill="1"/>
    <xf numFmtId="164" fontId="1" fillId="3" borderId="0" xfId="0" applyNumberFormat="1" applyFont="1" applyFill="1"/>
    <xf numFmtId="164" fontId="16" fillId="3" borderId="0" xfId="0" applyNumberFormat="1" applyFont="1" applyFill="1"/>
    <xf numFmtId="3" fontId="39" fillId="3" borderId="11" xfId="0" applyNumberFormat="1" applyFont="1" applyFill="1" applyBorder="1"/>
    <xf numFmtId="0" fontId="40" fillId="3" borderId="0" xfId="0" applyFont="1" applyFill="1" applyAlignment="1">
      <alignment horizontal="left"/>
    </xf>
    <xf numFmtId="0" fontId="13" fillId="3" borderId="10" xfId="0" applyFont="1" applyFill="1" applyBorder="1" applyAlignment="1">
      <alignment horizontal="center"/>
    </xf>
    <xf numFmtId="3" fontId="40" fillId="3" borderId="2" xfId="0" applyNumberFormat="1" applyFont="1" applyFill="1" applyBorder="1"/>
    <xf numFmtId="164" fontId="6" fillId="0" borderId="0" xfId="0" applyNumberFormat="1" applyFont="1"/>
    <xf numFmtId="4" fontId="6" fillId="0" borderId="0" xfId="0" applyNumberFormat="1" applyFont="1"/>
    <xf numFmtId="0" fontId="41" fillId="0" borderId="0" xfId="0" applyFont="1"/>
    <xf numFmtId="0" fontId="42" fillId="0" borderId="0" xfId="0" applyFont="1"/>
    <xf numFmtId="0" fontId="43" fillId="0" borderId="0" xfId="0" applyFont="1" applyAlignment="1">
      <alignment horizontal="center"/>
    </xf>
    <xf numFmtId="0" fontId="44" fillId="3" borderId="0" xfId="0" applyFont="1" applyFill="1"/>
    <xf numFmtId="0" fontId="43" fillId="0" borderId="0" xfId="0" applyFont="1" applyAlignment="1">
      <alignment horizontal="left"/>
    </xf>
    <xf numFmtId="166" fontId="45" fillId="0" borderId="0" xfId="0" applyNumberFormat="1" applyFont="1" applyAlignment="1">
      <alignment horizontal="center"/>
    </xf>
    <xf numFmtId="0" fontId="46" fillId="0" borderId="0" xfId="0" applyFont="1"/>
    <xf numFmtId="0" fontId="43" fillId="0" borderId="0" xfId="0" applyFont="1"/>
    <xf numFmtId="0" fontId="47" fillId="0" borderId="0" xfId="0" applyFont="1" applyAlignment="1">
      <alignment horizontal="left"/>
    </xf>
    <xf numFmtId="0" fontId="48" fillId="0" borderId="8" xfId="0" applyFont="1" applyBorder="1" applyAlignment="1">
      <alignment horizontal="center"/>
    </xf>
    <xf numFmtId="0" fontId="47" fillId="0" borderId="8" xfId="0" applyFont="1" applyBorder="1" applyAlignment="1">
      <alignment horizontal="center"/>
    </xf>
    <xf numFmtId="0" fontId="47" fillId="0" borderId="8" xfId="0" applyFont="1" applyBorder="1"/>
    <xf numFmtId="0" fontId="49" fillId="0" borderId="8" xfId="0" applyFont="1" applyBorder="1"/>
    <xf numFmtId="0" fontId="41" fillId="16" borderId="1" xfId="0" applyFont="1" applyFill="1" applyBorder="1" applyAlignment="1">
      <alignment horizontal="center"/>
    </xf>
    <xf numFmtId="0" fontId="43" fillId="16" borderId="9" xfId="0" applyFont="1" applyFill="1" applyBorder="1" applyAlignment="1">
      <alignment horizontal="center"/>
    </xf>
    <xf numFmtId="0" fontId="43" fillId="16" borderId="4" xfId="0" applyFont="1" applyFill="1" applyBorder="1" applyAlignment="1">
      <alignment horizontal="center"/>
    </xf>
    <xf numFmtId="0" fontId="41" fillId="3" borderId="3" xfId="0" applyFont="1" applyFill="1" applyBorder="1" applyAlignment="1">
      <alignment horizontal="center"/>
    </xf>
    <xf numFmtId="0" fontId="50" fillId="3" borderId="4" xfId="0" applyFont="1" applyFill="1" applyBorder="1" applyAlignment="1">
      <alignment horizontal="center"/>
    </xf>
    <xf numFmtId="164" fontId="51" fillId="3" borderId="4" xfId="0" applyNumberFormat="1" applyFont="1" applyFill="1" applyBorder="1" applyAlignment="1">
      <alignment horizontal="center"/>
    </xf>
    <xf numFmtId="11" fontId="29" fillId="3" borderId="4" xfId="0" applyNumberFormat="1" applyFont="1" applyFill="1" applyBorder="1" applyAlignment="1">
      <alignment horizontal="center"/>
    </xf>
    <xf numFmtId="0" fontId="1" fillId="3" borderId="4" xfId="0" applyFont="1" applyFill="1" applyBorder="1"/>
    <xf numFmtId="0" fontId="52" fillId="3" borderId="4" xfId="0" applyFont="1" applyFill="1" applyBorder="1"/>
    <xf numFmtId="3" fontId="52" fillId="3" borderId="4" xfId="0" applyNumberFormat="1" applyFont="1" applyFill="1" applyBorder="1"/>
    <xf numFmtId="2" fontId="52" fillId="3" borderId="4" xfId="0" applyNumberFormat="1" applyFont="1" applyFill="1" applyBorder="1" applyAlignment="1">
      <alignment horizontal="right"/>
    </xf>
    <xf numFmtId="3" fontId="1" fillId="3" borderId="4" xfId="0" applyNumberFormat="1" applyFont="1" applyFill="1" applyBorder="1"/>
    <xf numFmtId="0" fontId="29" fillId="3" borderId="4" xfId="0" applyFont="1" applyFill="1" applyBorder="1" applyAlignment="1">
      <alignment horizontal="center"/>
    </xf>
    <xf numFmtId="0" fontId="41" fillId="2" borderId="3" xfId="0" applyFont="1" applyFill="1" applyBorder="1" applyAlignment="1">
      <alignment horizontal="center"/>
    </xf>
    <xf numFmtId="0" fontId="50" fillId="2" borderId="4" xfId="0" applyFont="1" applyFill="1" applyBorder="1" applyAlignment="1">
      <alignment horizontal="center"/>
    </xf>
    <xf numFmtId="164" fontId="51" fillId="2" borderId="4" xfId="0" applyNumberFormat="1" applyFont="1" applyFill="1" applyBorder="1" applyAlignment="1">
      <alignment horizontal="center"/>
    </xf>
    <xf numFmtId="11" fontId="29" fillId="2" borderId="4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52" fillId="2" borderId="4" xfId="0" applyFont="1" applyFill="1" applyBorder="1"/>
    <xf numFmtId="3" fontId="52" fillId="2" borderId="4" xfId="0" applyNumberFormat="1" applyFont="1" applyFill="1" applyBorder="1"/>
    <xf numFmtId="2" fontId="52" fillId="2" borderId="4" xfId="0" applyNumberFormat="1" applyFont="1" applyFill="1" applyBorder="1" applyAlignment="1">
      <alignment horizontal="right"/>
    </xf>
    <xf numFmtId="3" fontId="1" fillId="2" borderId="4" xfId="0" applyNumberFormat="1" applyFont="1" applyFill="1" applyBorder="1"/>
    <xf numFmtId="0" fontId="44" fillId="2" borderId="0" xfId="0" applyFont="1" applyFill="1"/>
    <xf numFmtId="0" fontId="6" fillId="2" borderId="0" xfId="0" applyFont="1" applyFill="1"/>
    <xf numFmtId="0" fontId="52" fillId="6" borderId="4" xfId="0" applyFont="1" applyFill="1" applyBorder="1"/>
    <xf numFmtId="2" fontId="52" fillId="6" borderId="4" xfId="0" applyNumberFormat="1" applyFont="1" applyFill="1" applyBorder="1" applyAlignment="1">
      <alignment horizontal="right"/>
    </xf>
    <xf numFmtId="0" fontId="44" fillId="12" borderId="0" xfId="0" applyFont="1" applyFill="1"/>
    <xf numFmtId="0" fontId="6" fillId="12" borderId="0" xfId="0" applyFont="1" applyFill="1"/>
    <xf numFmtId="0" fontId="29" fillId="2" borderId="4" xfId="0" applyFont="1" applyFill="1" applyBorder="1" applyAlignment="1">
      <alignment horizontal="center"/>
    </xf>
    <xf numFmtId="0" fontId="43" fillId="3" borderId="0" xfId="0" applyFont="1" applyFill="1"/>
    <xf numFmtId="0" fontId="43" fillId="3" borderId="2" xfId="0" applyFont="1" applyFill="1" applyBorder="1"/>
    <xf numFmtId="0" fontId="43" fillId="3" borderId="2" xfId="0" applyFont="1" applyFill="1" applyBorder="1" applyAlignment="1">
      <alignment horizontal="right"/>
    </xf>
    <xf numFmtId="3" fontId="43" fillId="3" borderId="2" xfId="0" applyNumberFormat="1" applyFont="1" applyFill="1" applyBorder="1"/>
    <xf numFmtId="3" fontId="43" fillId="3" borderId="2" xfId="0" applyNumberFormat="1" applyFont="1" applyFill="1" applyBorder="1" applyAlignment="1">
      <alignment horizontal="right"/>
    </xf>
    <xf numFmtId="1" fontId="43" fillId="3" borderId="2" xfId="0" applyNumberFormat="1" applyFont="1" applyFill="1" applyBorder="1" applyAlignment="1">
      <alignment horizontal="right"/>
    </xf>
    <xf numFmtId="0" fontId="52" fillId="0" borderId="0" xfId="0" applyFont="1"/>
    <xf numFmtId="0" fontId="1" fillId="0" borderId="0" xfId="0" applyFont="1"/>
    <xf numFmtId="0" fontId="52" fillId="0" borderId="1" xfId="0" applyFont="1" applyBorder="1" applyAlignment="1">
      <alignment horizontal="center"/>
    </xf>
    <xf numFmtId="3" fontId="43" fillId="0" borderId="2" xfId="0" applyNumberFormat="1" applyFont="1" applyBorder="1" applyAlignment="1">
      <alignment horizontal="right"/>
    </xf>
    <xf numFmtId="164" fontId="52" fillId="0" borderId="0" xfId="0" applyNumberFormat="1" applyFont="1"/>
    <xf numFmtId="3" fontId="43" fillId="0" borderId="11" xfId="0" applyNumberFormat="1" applyFont="1" applyBorder="1" applyAlignment="1">
      <alignment horizontal="right"/>
    </xf>
    <xf numFmtId="0" fontId="52" fillId="3" borderId="0" xfId="0" applyFont="1" applyFill="1"/>
    <xf numFmtId="0" fontId="52" fillId="0" borderId="13" xfId="0" applyFont="1" applyBorder="1" applyAlignment="1">
      <alignment horizontal="center"/>
    </xf>
    <xf numFmtId="3" fontId="43" fillId="0" borderId="14" xfId="0" applyNumberFormat="1" applyFont="1" applyBorder="1" applyAlignment="1">
      <alignment horizontal="right"/>
    </xf>
    <xf numFmtId="0" fontId="52" fillId="0" borderId="10" xfId="0" applyFont="1" applyBorder="1" applyAlignment="1">
      <alignment horizontal="center"/>
    </xf>
    <xf numFmtId="0" fontId="44" fillId="0" borderId="0" xfId="0" applyFont="1"/>
    <xf numFmtId="0" fontId="53" fillId="0" borderId="0" xfId="0" applyFont="1"/>
    <xf numFmtId="0" fontId="52" fillId="0" borderId="15" xfId="0" applyFont="1" applyBorder="1" applyAlignment="1">
      <alignment horizontal="center"/>
    </xf>
    <xf numFmtId="3" fontId="43" fillId="0" borderId="4" xfId="0" applyNumberFormat="1" applyFont="1" applyBorder="1" applyAlignment="1">
      <alignment horizontal="right"/>
    </xf>
    <xf numFmtId="0" fontId="44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44" fillId="4" borderId="0" xfId="0" applyFont="1" applyFill="1"/>
    <xf numFmtId="0" fontId="43" fillId="16" borderId="11" xfId="0" applyFont="1" applyFill="1" applyBorder="1" applyAlignment="1">
      <alignment horizontal="center"/>
    </xf>
    <xf numFmtId="0" fontId="54" fillId="3" borderId="4" xfId="0" applyFont="1" applyFill="1" applyBorder="1" applyAlignment="1">
      <alignment horizontal="center"/>
    </xf>
    <xf numFmtId="0" fontId="55" fillId="3" borderId="3" xfId="0" applyFont="1" applyFill="1" applyBorder="1" applyAlignment="1">
      <alignment horizontal="center"/>
    </xf>
    <xf numFmtId="0" fontId="52" fillId="3" borderId="4" xfId="0" applyFont="1" applyFill="1" applyBorder="1" applyAlignment="1">
      <alignment horizontal="right"/>
    </xf>
    <xf numFmtId="0" fontId="54" fillId="2" borderId="4" xfId="0" applyFont="1" applyFill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right"/>
    </xf>
    <xf numFmtId="0" fontId="56" fillId="3" borderId="3" xfId="0" applyFont="1" applyFill="1" applyBorder="1" applyAlignment="1">
      <alignment horizontal="center"/>
    </xf>
    <xf numFmtId="0" fontId="43" fillId="0" borderId="2" xfId="0" applyFont="1" applyBorder="1"/>
    <xf numFmtId="0" fontId="43" fillId="0" borderId="2" xfId="0" applyFont="1" applyBorder="1" applyAlignment="1">
      <alignment horizontal="right"/>
    </xf>
    <xf numFmtId="3" fontId="43" fillId="0" borderId="2" xfId="0" applyNumberFormat="1" applyFont="1" applyBorder="1"/>
    <xf numFmtId="3" fontId="43" fillId="0" borderId="1" xfId="0" applyNumberFormat="1" applyFont="1" applyBorder="1" applyAlignment="1">
      <alignment horizontal="right"/>
    </xf>
    <xf numFmtId="0" fontId="44" fillId="2" borderId="0" xfId="0" applyFont="1" applyFill="1" applyAlignment="1">
      <alignment horizontal="right"/>
    </xf>
    <xf numFmtId="0" fontId="2" fillId="0" borderId="0" xfId="0" applyFont="1"/>
    <xf numFmtId="0" fontId="0" fillId="0" borderId="0" xfId="0"/>
    <xf numFmtId="0" fontId="2" fillId="3" borderId="12" xfId="0" applyFont="1" applyFill="1" applyBorder="1" applyAlignment="1">
      <alignment horizontal="left"/>
    </xf>
    <xf numFmtId="164" fontId="14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6" xfId="0" applyFont="1" applyBorder="1" applyAlignment="1">
      <alignment horizontal="center"/>
    </xf>
    <xf numFmtId="0" fontId="22" fillId="0" borderId="7" xfId="0" applyFont="1" applyBorder="1"/>
    <xf numFmtId="164" fontId="18" fillId="0" borderId="8" xfId="0" applyNumberFormat="1" applyFont="1" applyBorder="1" applyAlignment="1">
      <alignment horizontal="center"/>
    </xf>
    <xf numFmtId="0" fontId="22" fillId="0" borderId="8" xfId="0" applyFont="1" applyBorder="1"/>
    <xf numFmtId="0" fontId="52" fillId="0" borderId="0" xfId="0" applyFont="1"/>
    <xf numFmtId="0" fontId="43" fillId="0" borderId="0" xfId="0" applyFont="1" applyAlignment="1">
      <alignment horizontal="center"/>
    </xf>
    <xf numFmtId="166" fontId="42" fillId="0" borderId="0" xfId="0" applyNumberFormat="1" applyFont="1" applyAlignment="1">
      <alignment horizontal="center"/>
    </xf>
    <xf numFmtId="11" fontId="43" fillId="0" borderId="0" xfId="0" applyNumberFormat="1" applyFont="1" applyAlignment="1">
      <alignment horizontal="center"/>
    </xf>
    <xf numFmtId="0" fontId="57" fillId="0" borderId="16" xfId="0" applyFont="1" applyBorder="1" applyAlignment="1">
      <alignment horizontal="center"/>
    </xf>
    <xf numFmtId="0" fontId="22" fillId="0" borderId="5" xfId="0" applyFont="1" applyBorder="1"/>
    <xf numFmtId="0" fontId="2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1"/>
  <sheetViews>
    <sheetView tabSelected="1" workbookViewId="0">
      <selection activeCell="A18" sqref="A18:XFD18"/>
    </sheetView>
  </sheetViews>
  <sheetFormatPr baseColWidth="10" defaultColWidth="12.6640625" defaultRowHeight="15.75" customHeight="1"/>
  <sheetData>
    <row r="1" spans="1:2">
      <c r="A1" s="1" t="s">
        <v>0</v>
      </c>
      <c r="B1" s="2" t="s">
        <v>1</v>
      </c>
    </row>
    <row r="2" spans="1:2" ht="15.75" customHeight="1">
      <c r="A2" s="3"/>
      <c r="B2" s="4"/>
    </row>
    <row r="3" spans="1:2">
      <c r="A3" s="5" t="s">
        <v>2</v>
      </c>
      <c r="B3" s="6" t="s">
        <v>3</v>
      </c>
    </row>
    <row r="4" spans="1:2">
      <c r="A4" s="5" t="s">
        <v>4</v>
      </c>
      <c r="B4" s="6" t="s">
        <v>5</v>
      </c>
    </row>
    <row r="5" spans="1:2">
      <c r="A5" s="5" t="s">
        <v>6</v>
      </c>
      <c r="B5" s="6" t="s">
        <v>7</v>
      </c>
    </row>
    <row r="6" spans="1:2">
      <c r="A6" s="5" t="s">
        <v>8</v>
      </c>
      <c r="B6" s="6" t="s">
        <v>9</v>
      </c>
    </row>
    <row r="7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spans="1:2">
      <c r="A9" s="5" t="s">
        <v>14</v>
      </c>
      <c r="B9" s="6" t="s">
        <v>15</v>
      </c>
    </row>
    <row r="10" spans="1:2">
      <c r="A10" s="5" t="s">
        <v>16</v>
      </c>
      <c r="B10" s="6" t="s">
        <v>17</v>
      </c>
    </row>
    <row r="11" spans="1:2">
      <c r="A11" s="5" t="s">
        <v>18</v>
      </c>
      <c r="B11" s="6" t="s">
        <v>19</v>
      </c>
    </row>
    <row r="12" spans="1:2">
      <c r="A12" s="5" t="s">
        <v>20</v>
      </c>
      <c r="B12" s="6" t="s">
        <v>21</v>
      </c>
    </row>
    <row r="13" spans="1:2">
      <c r="A13" s="5" t="s">
        <v>22</v>
      </c>
      <c r="B13" s="6" t="s">
        <v>23</v>
      </c>
    </row>
    <row r="14" spans="1:2">
      <c r="A14" s="5" t="s">
        <v>24</v>
      </c>
      <c r="B14" s="7" t="s">
        <v>25</v>
      </c>
    </row>
    <row r="15" spans="1:2">
      <c r="A15" s="5" t="s">
        <v>26</v>
      </c>
      <c r="B15" s="6" t="s">
        <v>27</v>
      </c>
    </row>
    <row r="16" spans="1:2">
      <c r="A16" s="5" t="s">
        <v>28</v>
      </c>
      <c r="B16" s="6" t="s">
        <v>29</v>
      </c>
    </row>
    <row r="17" spans="1:2">
      <c r="A17" s="5" t="s">
        <v>30</v>
      </c>
      <c r="B17" s="6" t="s">
        <v>31</v>
      </c>
    </row>
    <row r="18" spans="1:2">
      <c r="A18" s="5"/>
      <c r="B18" s="6"/>
    </row>
    <row r="19" spans="1:2">
      <c r="A19" s="5" t="s">
        <v>32</v>
      </c>
      <c r="B19" s="8" t="s">
        <v>33</v>
      </c>
    </row>
    <row r="20" spans="1:2">
      <c r="A20" s="5" t="s">
        <v>34</v>
      </c>
      <c r="B20" s="6" t="s">
        <v>35</v>
      </c>
    </row>
    <row r="21" spans="1:2">
      <c r="A21" s="5" t="s">
        <v>36</v>
      </c>
      <c r="B21" s="7" t="s">
        <v>37</v>
      </c>
    </row>
    <row r="22" spans="1:2">
      <c r="A22" s="5" t="s">
        <v>38</v>
      </c>
      <c r="B22" s="6" t="s">
        <v>39</v>
      </c>
    </row>
    <row r="23" spans="1:2">
      <c r="A23" s="5" t="s">
        <v>40</v>
      </c>
      <c r="B23" s="7" t="s">
        <v>41</v>
      </c>
    </row>
    <row r="24" spans="1:2">
      <c r="A24" s="5" t="s">
        <v>42</v>
      </c>
      <c r="B24" s="6" t="s">
        <v>43</v>
      </c>
    </row>
    <row r="25" spans="1:2">
      <c r="A25" s="5" t="s">
        <v>44</v>
      </c>
      <c r="B25" s="7" t="s">
        <v>45</v>
      </c>
    </row>
    <row r="26" spans="1:2">
      <c r="A26" s="5"/>
      <c r="B26" s="6"/>
    </row>
    <row r="27" spans="1:2">
      <c r="A27" s="5"/>
      <c r="B27" s="7"/>
    </row>
    <row r="28" spans="1:2">
      <c r="A28" s="5" t="s">
        <v>46</v>
      </c>
      <c r="B28" s="8" t="s">
        <v>47</v>
      </c>
    </row>
    <row r="29" spans="1:2">
      <c r="A29" s="5" t="s">
        <v>48</v>
      </c>
      <c r="B29" s="6" t="s">
        <v>49</v>
      </c>
    </row>
    <row r="30" spans="1:2">
      <c r="A30" s="5" t="s">
        <v>50</v>
      </c>
      <c r="B30" s="6" t="s">
        <v>51</v>
      </c>
    </row>
    <row r="31" spans="1:2">
      <c r="A31" s="5" t="s">
        <v>52</v>
      </c>
      <c r="B31" s="6" t="s">
        <v>53</v>
      </c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68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28.6640625" customWidth="1"/>
    <col min="3" max="3" width="16.83203125" customWidth="1"/>
  </cols>
  <sheetData>
    <row r="1" spans="1:3">
      <c r="A1" s="9" t="s">
        <v>0</v>
      </c>
      <c r="B1" s="2" t="s">
        <v>65</v>
      </c>
      <c r="C1" s="10" t="s">
        <v>66</v>
      </c>
    </row>
    <row r="2" spans="1:3" ht="15.75" customHeight="1">
      <c r="A2" s="11" t="s">
        <v>67</v>
      </c>
      <c r="B2" s="12" t="s">
        <v>68</v>
      </c>
      <c r="C2" s="13"/>
    </row>
    <row r="3" spans="1:3" ht="15.75" customHeight="1">
      <c r="A3" s="11" t="s">
        <v>69</v>
      </c>
      <c r="B3" s="12" t="s">
        <v>70</v>
      </c>
      <c r="C3" s="13"/>
    </row>
    <row r="4" spans="1:3" ht="15.75" customHeight="1">
      <c r="A4" s="11" t="s">
        <v>71</v>
      </c>
      <c r="B4" s="12" t="s">
        <v>72</v>
      </c>
      <c r="C4" s="13"/>
    </row>
    <row r="5" spans="1:3" ht="15.75" customHeight="1">
      <c r="A5" s="11" t="s">
        <v>73</v>
      </c>
      <c r="B5" s="12" t="s">
        <v>74</v>
      </c>
      <c r="C5" s="13">
        <v>280000</v>
      </c>
    </row>
    <row r="6" spans="1:3" ht="15.75" customHeight="1">
      <c r="A6" s="11" t="s">
        <v>75</v>
      </c>
      <c r="B6" s="12" t="s">
        <v>76</v>
      </c>
      <c r="C6" s="13">
        <v>244000</v>
      </c>
    </row>
    <row r="7" spans="1:3" ht="15.75" customHeight="1">
      <c r="A7" s="11" t="s">
        <v>77</v>
      </c>
      <c r="B7" s="12" t="s">
        <v>78</v>
      </c>
      <c r="C7" s="13">
        <v>244000</v>
      </c>
    </row>
    <row r="8" spans="1:3" ht="15.75" customHeight="1">
      <c r="A8" s="11"/>
      <c r="B8" s="12"/>
      <c r="C8" s="13"/>
    </row>
    <row r="9" spans="1:3" ht="15.75" customHeight="1">
      <c r="A9" s="11" t="s">
        <v>79</v>
      </c>
      <c r="B9" s="12" t="s">
        <v>80</v>
      </c>
      <c r="C9" s="13">
        <v>600000</v>
      </c>
    </row>
    <row r="10" spans="1:3" ht="15.75" customHeight="1">
      <c r="A10" s="11" t="s">
        <v>81</v>
      </c>
      <c r="B10" s="12" t="s">
        <v>82</v>
      </c>
      <c r="C10" s="13">
        <v>410000</v>
      </c>
    </row>
    <row r="11" spans="1:3" ht="15.75" customHeight="1">
      <c r="A11" s="11" t="s">
        <v>83</v>
      </c>
      <c r="B11" s="12" t="s">
        <v>84</v>
      </c>
      <c r="C11" s="13">
        <v>300000</v>
      </c>
    </row>
    <row r="12" spans="1:3" ht="15.75" customHeight="1">
      <c r="A12" s="11" t="s">
        <v>85</v>
      </c>
      <c r="B12" s="12" t="s">
        <v>86</v>
      </c>
      <c r="C12" s="13">
        <v>180000</v>
      </c>
    </row>
    <row r="13" spans="1:3" ht="15.75" customHeight="1">
      <c r="A13" s="11" t="s">
        <v>87</v>
      </c>
      <c r="B13" s="12" t="s">
        <v>88</v>
      </c>
      <c r="C13" s="13">
        <v>140000</v>
      </c>
    </row>
    <row r="14" spans="1:3" ht="15.75" customHeight="1">
      <c r="A14" s="11" t="s">
        <v>89</v>
      </c>
      <c r="B14" s="12" t="s">
        <v>90</v>
      </c>
      <c r="C14" s="13">
        <v>300000</v>
      </c>
    </row>
    <row r="15" spans="1:3" ht="15.75" customHeight="1">
      <c r="A15" s="11" t="s">
        <v>91</v>
      </c>
      <c r="B15" s="12" t="s">
        <v>92</v>
      </c>
      <c r="C15" s="13">
        <v>400000</v>
      </c>
    </row>
    <row r="16" spans="1:3" ht="15.75" customHeight="1">
      <c r="A16" s="11" t="s">
        <v>93</v>
      </c>
      <c r="B16" s="12" t="s">
        <v>94</v>
      </c>
      <c r="C16" s="13">
        <v>200000</v>
      </c>
    </row>
    <row r="17" spans="1:3" ht="15.75" customHeight="1">
      <c r="A17" s="11" t="s">
        <v>95</v>
      </c>
      <c r="B17" s="12" t="s">
        <v>96</v>
      </c>
      <c r="C17" s="13">
        <v>100000</v>
      </c>
    </row>
    <row r="18" spans="1:3" ht="15.75" customHeight="1">
      <c r="A18" s="11"/>
      <c r="B18" s="12"/>
      <c r="C18" s="13"/>
    </row>
    <row r="19" spans="1:3" ht="15.75" customHeight="1">
      <c r="A19" s="11" t="s">
        <v>97</v>
      </c>
      <c r="B19" s="12" t="s">
        <v>98</v>
      </c>
      <c r="C19" s="13">
        <v>414000</v>
      </c>
    </row>
    <row r="20" spans="1:3" ht="15.75" customHeight="1">
      <c r="A20" s="11" t="s">
        <v>99</v>
      </c>
      <c r="B20" s="12" t="s">
        <v>100</v>
      </c>
      <c r="C20" s="13">
        <v>300000</v>
      </c>
    </row>
    <row r="21" spans="1:3" ht="15.75" customHeight="1">
      <c r="A21" s="11" t="s">
        <v>101</v>
      </c>
      <c r="B21" s="12" t="s">
        <v>102</v>
      </c>
      <c r="C21" s="13">
        <v>200000</v>
      </c>
    </row>
    <row r="22" spans="1:3" ht="15.75" customHeight="1">
      <c r="A22" s="14" t="s">
        <v>103</v>
      </c>
      <c r="B22" s="12" t="s">
        <v>104</v>
      </c>
      <c r="C22" s="13">
        <v>200000</v>
      </c>
    </row>
    <row r="23" spans="1:3" ht="15.75" customHeight="1">
      <c r="A23" s="14" t="s">
        <v>105</v>
      </c>
      <c r="B23" s="15" t="s">
        <v>106</v>
      </c>
      <c r="C23" s="13">
        <v>200000</v>
      </c>
    </row>
    <row r="24" spans="1:3" ht="15.75" customHeight="1">
      <c r="A24" s="14" t="s">
        <v>107</v>
      </c>
      <c r="B24" s="15" t="s">
        <v>108</v>
      </c>
      <c r="C24" s="13">
        <v>200000</v>
      </c>
    </row>
    <row r="25" spans="1:3" ht="15.75" customHeight="1">
      <c r="A25" s="14" t="s">
        <v>109</v>
      </c>
      <c r="B25" s="15" t="s">
        <v>110</v>
      </c>
      <c r="C25" s="13">
        <v>200000</v>
      </c>
    </row>
    <row r="26" spans="1:3" ht="15.75" customHeight="1">
      <c r="A26" s="14" t="s">
        <v>111</v>
      </c>
      <c r="B26" s="15" t="s">
        <v>112</v>
      </c>
      <c r="C26" s="13">
        <v>200000</v>
      </c>
    </row>
    <row r="27" spans="1:3" ht="15.75" customHeight="1">
      <c r="A27" s="14" t="s">
        <v>113</v>
      </c>
      <c r="B27" s="15" t="s">
        <v>114</v>
      </c>
      <c r="C27" s="13">
        <v>238000</v>
      </c>
    </row>
    <row r="28" spans="1:3" ht="15.75" customHeight="1">
      <c r="A28" s="14" t="s">
        <v>115</v>
      </c>
      <c r="B28" s="15" t="s">
        <v>116</v>
      </c>
      <c r="C28" s="13">
        <v>238000</v>
      </c>
    </row>
    <row r="29" spans="1:3" ht="15.75" customHeight="1">
      <c r="A29" s="14" t="s">
        <v>117</v>
      </c>
      <c r="B29" s="15" t="s">
        <v>118</v>
      </c>
      <c r="C29" s="13">
        <v>212000</v>
      </c>
    </row>
    <row r="30" spans="1:3" ht="15.75" customHeight="1">
      <c r="A30" s="14" t="s">
        <v>119</v>
      </c>
      <c r="B30" s="15" t="s">
        <v>120</v>
      </c>
      <c r="C30" s="13">
        <v>273000</v>
      </c>
    </row>
    <row r="31" spans="1:3" ht="15.75" customHeight="1">
      <c r="A31" s="14" t="s">
        <v>121</v>
      </c>
      <c r="B31" s="15" t="s">
        <v>122</v>
      </c>
      <c r="C31" s="13">
        <v>210000</v>
      </c>
    </row>
    <row r="32" spans="1:3" ht="15.75" customHeight="1">
      <c r="A32" s="14" t="s">
        <v>123</v>
      </c>
      <c r="B32" s="15" t="s">
        <v>124</v>
      </c>
      <c r="C32" s="13">
        <v>232000</v>
      </c>
    </row>
    <row r="33" spans="1:3" ht="15.75" customHeight="1">
      <c r="A33" s="14" t="s">
        <v>125</v>
      </c>
      <c r="B33" s="15" t="s">
        <v>126</v>
      </c>
      <c r="C33" s="13">
        <v>262000</v>
      </c>
    </row>
    <row r="34" spans="1:3" ht="15.75" customHeight="1">
      <c r="A34" s="14" t="s">
        <v>127</v>
      </c>
      <c r="B34" s="15" t="s">
        <v>127</v>
      </c>
      <c r="C34" s="13">
        <v>360000</v>
      </c>
    </row>
    <row r="35" spans="1:3" ht="15.75" customHeight="1">
      <c r="A35" s="14" t="s">
        <v>128</v>
      </c>
      <c r="B35" s="15" t="s">
        <v>129</v>
      </c>
      <c r="C35" s="13">
        <v>212000</v>
      </c>
    </row>
    <row r="36" spans="1:3" ht="15.75" customHeight="1">
      <c r="A36" s="14" t="s">
        <v>130</v>
      </c>
      <c r="B36" s="15" t="s">
        <v>131</v>
      </c>
      <c r="C36" s="13">
        <v>900000</v>
      </c>
    </row>
    <row r="37" spans="1:3" ht="15.75" customHeight="1">
      <c r="A37" s="14" t="s">
        <v>132</v>
      </c>
      <c r="B37" s="15" t="s">
        <v>133</v>
      </c>
      <c r="C37" s="13">
        <v>220000</v>
      </c>
    </row>
    <row r="38" spans="1:3" ht="15.75" customHeight="1">
      <c r="A38" s="14" t="s">
        <v>134</v>
      </c>
      <c r="B38" s="15" t="s">
        <v>135</v>
      </c>
      <c r="C38" s="13">
        <v>200000</v>
      </c>
    </row>
    <row r="39" spans="1:3" ht="15.75" customHeight="1">
      <c r="A39" s="14" t="s">
        <v>136</v>
      </c>
      <c r="B39" s="15" t="s">
        <v>137</v>
      </c>
      <c r="C39" s="13">
        <v>200000</v>
      </c>
    </row>
    <row r="40" spans="1:3" ht="15.75" customHeight="1">
      <c r="A40" s="14" t="s">
        <v>138</v>
      </c>
      <c r="B40" s="15" t="s">
        <v>139</v>
      </c>
      <c r="C40" s="13">
        <v>800000</v>
      </c>
    </row>
    <row r="41" spans="1:3" ht="15.75" customHeight="1">
      <c r="A41" s="14" t="s">
        <v>140</v>
      </c>
      <c r="B41" s="15" t="s">
        <v>141</v>
      </c>
      <c r="C41" s="13">
        <v>800000</v>
      </c>
    </row>
    <row r="42" spans="1:3" ht="15.75" customHeight="1">
      <c r="A42" s="14" t="s">
        <v>142</v>
      </c>
      <c r="B42" s="15" t="s">
        <v>143</v>
      </c>
      <c r="C42" s="13">
        <v>800000</v>
      </c>
    </row>
    <row r="43" spans="1:3" ht="15.75" customHeight="1">
      <c r="A43" s="14" t="s">
        <v>144</v>
      </c>
      <c r="B43" s="15" t="s">
        <v>145</v>
      </c>
      <c r="C43" s="13">
        <v>800000</v>
      </c>
    </row>
    <row r="44" spans="1:3" ht="15.75" customHeight="1">
      <c r="A44" s="14" t="s">
        <v>146</v>
      </c>
      <c r="B44" s="15" t="s">
        <v>147</v>
      </c>
      <c r="C44" s="13">
        <v>800000</v>
      </c>
    </row>
    <row r="45" spans="1:3" ht="15.75" customHeight="1">
      <c r="A45" s="14" t="s">
        <v>148</v>
      </c>
      <c r="B45" s="15" t="s">
        <v>149</v>
      </c>
      <c r="C45" s="13">
        <v>800000</v>
      </c>
    </row>
    <row r="46" spans="1:3" ht="13">
      <c r="A46" s="14" t="s">
        <v>150</v>
      </c>
      <c r="B46" s="15" t="s">
        <v>151</v>
      </c>
      <c r="C46" s="13">
        <v>800000</v>
      </c>
    </row>
    <row r="47" spans="1:3" ht="13">
      <c r="A47" s="14" t="s">
        <v>152</v>
      </c>
      <c r="B47" s="15" t="s">
        <v>153</v>
      </c>
      <c r="C47" s="13"/>
    </row>
    <row r="48" spans="1:3" ht="13">
      <c r="A48" s="14" t="s">
        <v>154</v>
      </c>
      <c r="B48" s="15" t="s">
        <v>155</v>
      </c>
      <c r="C48" s="13">
        <v>210000</v>
      </c>
    </row>
    <row r="49" spans="1:3" ht="13">
      <c r="A49" s="14" t="s">
        <v>156</v>
      </c>
      <c r="B49" s="15" t="s">
        <v>157</v>
      </c>
      <c r="C49" s="13">
        <v>190000</v>
      </c>
    </row>
    <row r="50" spans="1:3" ht="13">
      <c r="A50" s="14" t="s">
        <v>158</v>
      </c>
      <c r="B50" s="15" t="s">
        <v>159</v>
      </c>
      <c r="C50" s="13">
        <v>200000</v>
      </c>
    </row>
    <row r="51" spans="1:3" ht="13">
      <c r="A51" s="14" t="s">
        <v>160</v>
      </c>
      <c r="B51" s="15" t="s">
        <v>161</v>
      </c>
      <c r="C51" s="13">
        <v>800000</v>
      </c>
    </row>
    <row r="52" spans="1:3" ht="13">
      <c r="A52" s="14" t="s">
        <v>162</v>
      </c>
      <c r="B52" s="15" t="s">
        <v>163</v>
      </c>
      <c r="C52" s="13"/>
    </row>
    <row r="53" spans="1:3" ht="13">
      <c r="A53" s="11" t="s">
        <v>164</v>
      </c>
      <c r="B53" s="12" t="s">
        <v>165</v>
      </c>
      <c r="C53" s="13">
        <v>212000</v>
      </c>
    </row>
    <row r="54" spans="1:3" ht="13">
      <c r="A54" s="11" t="s">
        <v>166</v>
      </c>
      <c r="B54" s="12" t="s">
        <v>167</v>
      </c>
      <c r="C54" s="13">
        <v>220000</v>
      </c>
    </row>
    <row r="55" spans="1:3" ht="13">
      <c r="A55" s="11" t="s">
        <v>168</v>
      </c>
      <c r="B55" s="12" t="s">
        <v>169</v>
      </c>
      <c r="C55" s="13">
        <v>210000</v>
      </c>
    </row>
    <row r="56" spans="1:3" ht="13">
      <c r="A56" s="11" t="s">
        <v>170</v>
      </c>
      <c r="B56" s="12" t="s">
        <v>171</v>
      </c>
      <c r="C56" s="13">
        <v>200000</v>
      </c>
    </row>
    <row r="57" spans="1:3" ht="13">
      <c r="A57" s="11" t="s">
        <v>172</v>
      </c>
      <c r="B57" s="12" t="s">
        <v>173</v>
      </c>
      <c r="C57" s="13"/>
    </row>
    <row r="58" spans="1:3" ht="13">
      <c r="A58" s="14" t="s">
        <v>174</v>
      </c>
      <c r="B58" s="15" t="s">
        <v>175</v>
      </c>
      <c r="C58" s="13"/>
    </row>
    <row r="59" spans="1:3" ht="13">
      <c r="A59" s="14" t="s">
        <v>176</v>
      </c>
      <c r="B59" s="15" t="s">
        <v>177</v>
      </c>
      <c r="C59" s="13"/>
    </row>
    <row r="60" spans="1:3" ht="13">
      <c r="A60" s="14" t="s">
        <v>178</v>
      </c>
      <c r="B60" s="15" t="s">
        <v>179</v>
      </c>
      <c r="C60" s="13">
        <v>370000</v>
      </c>
    </row>
    <row r="61" spans="1:3" ht="13">
      <c r="A61" s="14" t="s">
        <v>180</v>
      </c>
      <c r="B61" s="15" t="s">
        <v>181</v>
      </c>
      <c r="C61" s="13"/>
    </row>
    <row r="62" spans="1:3" ht="13">
      <c r="A62" s="14" t="s">
        <v>182</v>
      </c>
      <c r="B62" s="15" t="s">
        <v>183</v>
      </c>
      <c r="C62" s="13"/>
    </row>
    <row r="63" spans="1:3" ht="13">
      <c r="A63" s="14" t="s">
        <v>184</v>
      </c>
      <c r="B63" s="15" t="s">
        <v>185</v>
      </c>
      <c r="C63" s="13"/>
    </row>
    <row r="64" spans="1:3" ht="13">
      <c r="A64" s="14" t="s">
        <v>186</v>
      </c>
      <c r="B64" s="15" t="s">
        <v>187</v>
      </c>
      <c r="C64" s="13"/>
    </row>
    <row r="65" spans="1:3" ht="13">
      <c r="A65" s="14" t="s">
        <v>188</v>
      </c>
      <c r="B65" s="15" t="s">
        <v>189</v>
      </c>
      <c r="C65" s="13">
        <v>442000</v>
      </c>
    </row>
    <row r="66" spans="1:3" ht="13">
      <c r="A66" s="14" t="s">
        <v>190</v>
      </c>
      <c r="B66" s="15" t="s">
        <v>191</v>
      </c>
      <c r="C66" s="13">
        <v>393000</v>
      </c>
    </row>
    <row r="67" spans="1:3" ht="13">
      <c r="A67" s="14" t="s">
        <v>192</v>
      </c>
      <c r="B67" s="15" t="s">
        <v>193</v>
      </c>
      <c r="C67" s="13">
        <v>363000</v>
      </c>
    </row>
    <row r="68" spans="1:3" ht="13">
      <c r="A68" s="14" t="s">
        <v>194</v>
      </c>
      <c r="B68" s="15" t="s">
        <v>195</v>
      </c>
      <c r="C68" s="13">
        <v>2400000</v>
      </c>
    </row>
    <row r="69" spans="1:3" ht="13">
      <c r="A69" s="14" t="s">
        <v>196</v>
      </c>
      <c r="B69" s="15" t="s">
        <v>197</v>
      </c>
      <c r="C69" s="13">
        <v>1800000</v>
      </c>
    </row>
    <row r="70" spans="1:3" ht="13">
      <c r="A70" s="14" t="s">
        <v>198</v>
      </c>
      <c r="B70" s="15" t="s">
        <v>199</v>
      </c>
      <c r="C70" s="13">
        <v>240000</v>
      </c>
    </row>
    <row r="71" spans="1:3" ht="13">
      <c r="A71" s="14" t="s">
        <v>200</v>
      </c>
      <c r="B71" s="15" t="s">
        <v>201</v>
      </c>
      <c r="C71" s="13">
        <v>220000</v>
      </c>
    </row>
    <row r="72" spans="1:3" ht="13">
      <c r="A72" s="14" t="s">
        <v>202</v>
      </c>
      <c r="B72" s="15" t="s">
        <v>203</v>
      </c>
      <c r="C72" s="13">
        <v>230000</v>
      </c>
    </row>
    <row r="73" spans="1:3" ht="13">
      <c r="A73" s="14" t="s">
        <v>204</v>
      </c>
      <c r="B73" s="15" t="s">
        <v>205</v>
      </c>
      <c r="C73" s="13">
        <v>230000</v>
      </c>
    </row>
    <row r="74" spans="1:3" ht="13">
      <c r="A74" s="14" t="s">
        <v>206</v>
      </c>
      <c r="B74" s="15" t="s">
        <v>207</v>
      </c>
      <c r="C74" s="13">
        <v>230000</v>
      </c>
    </row>
    <row r="75" spans="1:3" ht="13">
      <c r="A75" s="14" t="s">
        <v>208</v>
      </c>
      <c r="B75" s="15" t="s">
        <v>209</v>
      </c>
      <c r="C75" s="13">
        <v>260000</v>
      </c>
    </row>
    <row r="76" spans="1:3" ht="13">
      <c r="A76" s="14" t="s">
        <v>210</v>
      </c>
      <c r="B76" s="15" t="s">
        <v>211</v>
      </c>
      <c r="C76" s="13">
        <v>200000</v>
      </c>
    </row>
    <row r="77" spans="1:3" ht="13">
      <c r="A77" s="14" t="s">
        <v>212</v>
      </c>
      <c r="B77" s="15" t="s">
        <v>213</v>
      </c>
      <c r="C77" s="13">
        <v>300000</v>
      </c>
    </row>
    <row r="78" spans="1:3" ht="13">
      <c r="A78" s="14" t="s">
        <v>214</v>
      </c>
      <c r="B78" s="15" t="s">
        <v>215</v>
      </c>
      <c r="C78" s="13">
        <v>230000</v>
      </c>
    </row>
    <row r="79" spans="1:3" ht="13">
      <c r="A79" s="14" t="s">
        <v>216</v>
      </c>
      <c r="B79" s="15" t="s">
        <v>217</v>
      </c>
      <c r="C79" s="13">
        <v>250000</v>
      </c>
    </row>
    <row r="80" spans="1:3" ht="13">
      <c r="A80" s="14" t="s">
        <v>218</v>
      </c>
      <c r="B80" s="15" t="s">
        <v>219</v>
      </c>
      <c r="C80" s="13">
        <v>230000</v>
      </c>
    </row>
    <row r="81" spans="1:3" ht="13">
      <c r="A81" s="14" t="s">
        <v>220</v>
      </c>
      <c r="B81" s="15" t="s">
        <v>221</v>
      </c>
      <c r="C81" s="13">
        <v>200000</v>
      </c>
    </row>
    <row r="82" spans="1:3" ht="13">
      <c r="A82" s="14" t="s">
        <v>222</v>
      </c>
      <c r="B82" s="15" t="s">
        <v>223</v>
      </c>
      <c r="C82" s="13">
        <v>200000</v>
      </c>
    </row>
    <row r="83" spans="1:3" ht="13">
      <c r="A83" s="14" t="s">
        <v>224</v>
      </c>
      <c r="B83" s="15" t="s">
        <v>225</v>
      </c>
      <c r="C83" s="13">
        <v>238000</v>
      </c>
    </row>
    <row r="84" spans="1:3" ht="13">
      <c r="A84" s="16" t="s">
        <v>226</v>
      </c>
      <c r="B84" s="17" t="s">
        <v>227</v>
      </c>
      <c r="C84" s="18">
        <v>230000</v>
      </c>
    </row>
    <row r="85" spans="1:3" ht="13">
      <c r="A85" s="14" t="s">
        <v>228</v>
      </c>
      <c r="B85" s="15" t="s">
        <v>229</v>
      </c>
      <c r="C85" s="13">
        <v>900000</v>
      </c>
    </row>
    <row r="86" spans="1:3" ht="13">
      <c r="A86" s="14" t="s">
        <v>230</v>
      </c>
      <c r="B86" s="15" t="s">
        <v>231</v>
      </c>
      <c r="C86" s="13">
        <v>200000</v>
      </c>
    </row>
    <row r="87" spans="1:3" ht="13">
      <c r="A87" s="14" t="s">
        <v>232</v>
      </c>
      <c r="B87" s="15" t="s">
        <v>233</v>
      </c>
      <c r="C87" s="13">
        <v>200000</v>
      </c>
    </row>
    <row r="88" spans="1:3" ht="13">
      <c r="A88" s="14" t="s">
        <v>234</v>
      </c>
      <c r="B88" s="15" t="s">
        <v>235</v>
      </c>
      <c r="C88" s="13">
        <v>370000</v>
      </c>
    </row>
    <row r="89" spans="1:3" ht="13">
      <c r="A89" s="14" t="s">
        <v>236</v>
      </c>
      <c r="B89" s="15" t="s">
        <v>237</v>
      </c>
      <c r="C89" s="13">
        <v>200000</v>
      </c>
    </row>
    <row r="90" spans="1:3" ht="13">
      <c r="A90" s="14" t="s">
        <v>238</v>
      </c>
      <c r="B90" s="15" t="s">
        <v>239</v>
      </c>
      <c r="C90" s="13">
        <v>200000</v>
      </c>
    </row>
    <row r="91" spans="1:3" ht="13">
      <c r="A91" s="14" t="s">
        <v>240</v>
      </c>
      <c r="B91" s="15" t="s">
        <v>241</v>
      </c>
      <c r="C91" s="13">
        <v>200000</v>
      </c>
    </row>
    <row r="92" spans="1:3" ht="13">
      <c r="A92" s="14" t="s">
        <v>242</v>
      </c>
      <c r="B92" s="15" t="s">
        <v>243</v>
      </c>
      <c r="C92" s="13">
        <v>220000</v>
      </c>
    </row>
    <row r="93" spans="1:3" ht="13">
      <c r="A93" s="14" t="s">
        <v>244</v>
      </c>
      <c r="B93" s="15" t="s">
        <v>245</v>
      </c>
      <c r="C93" s="13">
        <v>230000</v>
      </c>
    </row>
    <row r="94" spans="1:3" ht="13">
      <c r="A94" s="14" t="s">
        <v>246</v>
      </c>
      <c r="B94" s="15" t="s">
        <v>247</v>
      </c>
      <c r="C94" s="13">
        <v>210000</v>
      </c>
    </row>
    <row r="95" spans="1:3" ht="13">
      <c r="A95" s="14" t="s">
        <v>248</v>
      </c>
      <c r="B95" s="15" t="s">
        <v>249</v>
      </c>
      <c r="C95" s="13">
        <v>220000</v>
      </c>
    </row>
    <row r="96" spans="1:3" ht="13">
      <c r="A96" s="14" t="s">
        <v>250</v>
      </c>
      <c r="B96" s="15" t="s">
        <v>251</v>
      </c>
      <c r="C96" s="13">
        <v>200000</v>
      </c>
    </row>
    <row r="97" spans="1:4" ht="13">
      <c r="A97" s="14"/>
      <c r="B97" s="15"/>
      <c r="C97" s="13"/>
    </row>
    <row r="98" spans="1:4" ht="13">
      <c r="A98" s="14"/>
      <c r="B98" s="15"/>
      <c r="C98" s="13"/>
    </row>
    <row r="99" spans="1:4" ht="13">
      <c r="A99" s="14"/>
      <c r="B99" s="15"/>
      <c r="C99" s="13"/>
    </row>
    <row r="100" spans="1:4" ht="13">
      <c r="A100" s="14"/>
      <c r="B100" s="15"/>
      <c r="C100" s="13"/>
    </row>
    <row r="101" spans="1:4" ht="13">
      <c r="A101" s="14"/>
      <c r="B101" s="15"/>
      <c r="C101" s="13"/>
    </row>
    <row r="102" spans="1:4" ht="13">
      <c r="A102" s="14"/>
      <c r="B102" s="15"/>
      <c r="C102" s="13"/>
    </row>
    <row r="103" spans="1:4" ht="13">
      <c r="A103" s="14" t="s">
        <v>252</v>
      </c>
      <c r="B103" s="15" t="s">
        <v>253</v>
      </c>
      <c r="C103" s="13">
        <v>442000</v>
      </c>
    </row>
    <row r="104" spans="1:4" ht="13">
      <c r="A104" s="14" t="s">
        <v>254</v>
      </c>
      <c r="B104" s="15" t="s">
        <v>255</v>
      </c>
      <c r="C104" s="13">
        <v>393000</v>
      </c>
    </row>
    <row r="105" spans="1:4" ht="13">
      <c r="A105" s="14" t="s">
        <v>256</v>
      </c>
      <c r="B105" s="15" t="s">
        <v>257</v>
      </c>
      <c r="C105" s="13">
        <v>363000</v>
      </c>
    </row>
    <row r="106" spans="1:4" ht="13">
      <c r="A106" s="19" t="s">
        <v>258</v>
      </c>
      <c r="B106" s="20" t="s">
        <v>259</v>
      </c>
      <c r="C106" s="13">
        <v>900000</v>
      </c>
    </row>
    <row r="107" spans="1:4" ht="13">
      <c r="A107" s="19" t="s">
        <v>260</v>
      </c>
      <c r="B107" s="20" t="s">
        <v>261</v>
      </c>
      <c r="C107" s="13">
        <v>900000</v>
      </c>
      <c r="D107" s="21" t="s">
        <v>262</v>
      </c>
    </row>
    <row r="108" spans="1:4" ht="13">
      <c r="A108" s="19" t="s">
        <v>263</v>
      </c>
      <c r="B108" s="20" t="s">
        <v>264</v>
      </c>
      <c r="C108" s="13">
        <v>1000000</v>
      </c>
    </row>
    <row r="109" spans="1:4" ht="13">
      <c r="A109" s="19" t="s">
        <v>265</v>
      </c>
      <c r="B109" s="20" t="s">
        <v>266</v>
      </c>
      <c r="C109" s="13">
        <v>800000</v>
      </c>
    </row>
    <row r="110" spans="1:4" ht="13">
      <c r="A110" s="19" t="s">
        <v>267</v>
      </c>
      <c r="B110" s="20" t="s">
        <v>268</v>
      </c>
      <c r="C110" s="13">
        <v>800000</v>
      </c>
    </row>
    <row r="111" spans="1:4" ht="13">
      <c r="A111" s="19" t="s">
        <v>269</v>
      </c>
      <c r="B111" s="20" t="s">
        <v>270</v>
      </c>
      <c r="C111" s="13">
        <v>800000</v>
      </c>
    </row>
    <row r="112" spans="1:4" ht="13">
      <c r="A112" s="19" t="s">
        <v>271</v>
      </c>
      <c r="B112" s="20" t="s">
        <v>272</v>
      </c>
      <c r="C112" s="13">
        <v>800000</v>
      </c>
    </row>
    <row r="113" spans="1:4" ht="13">
      <c r="A113" s="19" t="s">
        <v>273</v>
      </c>
      <c r="B113" s="20" t="s">
        <v>274</v>
      </c>
      <c r="C113" s="13">
        <v>800000</v>
      </c>
    </row>
    <row r="114" spans="1:4" ht="13">
      <c r="A114" s="19" t="s">
        <v>275</v>
      </c>
      <c r="B114" s="20" t="s">
        <v>276</v>
      </c>
      <c r="C114" s="13">
        <v>800000</v>
      </c>
      <c r="D114" s="21" t="s">
        <v>262</v>
      </c>
    </row>
    <row r="115" spans="1:4" ht="13">
      <c r="A115" s="19" t="s">
        <v>277</v>
      </c>
      <c r="B115" s="20" t="s">
        <v>278</v>
      </c>
      <c r="C115" s="13">
        <v>800000</v>
      </c>
    </row>
    <row r="116" spans="1:4" ht="13">
      <c r="A116" s="19" t="s">
        <v>279</v>
      </c>
      <c r="B116" s="20" t="s">
        <v>280</v>
      </c>
      <c r="C116" s="13">
        <v>400000</v>
      </c>
    </row>
    <row r="117" spans="1:4" ht="13">
      <c r="A117" s="19" t="s">
        <v>281</v>
      </c>
      <c r="B117" s="20" t="s">
        <v>282</v>
      </c>
      <c r="C117" s="13">
        <v>800000</v>
      </c>
    </row>
    <row r="118" spans="1:4" ht="13">
      <c r="A118" s="19" t="s">
        <v>283</v>
      </c>
      <c r="B118" s="20" t="s">
        <v>284</v>
      </c>
      <c r="C118" s="13">
        <v>800000</v>
      </c>
    </row>
    <row r="119" spans="1:4" ht="13">
      <c r="A119" s="19" t="s">
        <v>285</v>
      </c>
      <c r="B119" s="20" t="s">
        <v>286</v>
      </c>
      <c r="C119" s="13">
        <v>800000</v>
      </c>
    </row>
    <row r="120" spans="1:4" ht="13">
      <c r="A120" s="19" t="s">
        <v>287</v>
      </c>
      <c r="B120" s="20" t="s">
        <v>288</v>
      </c>
      <c r="C120" s="13">
        <v>800000</v>
      </c>
      <c r="D120" s="21" t="s">
        <v>262</v>
      </c>
    </row>
    <row r="121" spans="1:4" ht="13">
      <c r="A121" s="19" t="s">
        <v>289</v>
      </c>
      <c r="B121" s="20" t="s">
        <v>290</v>
      </c>
      <c r="C121" s="13">
        <v>900000</v>
      </c>
    </row>
    <row r="122" spans="1:4" ht="13">
      <c r="A122" s="19" t="s">
        <v>291</v>
      </c>
      <c r="B122" s="20" t="s">
        <v>292</v>
      </c>
      <c r="C122" s="13">
        <v>800000</v>
      </c>
    </row>
    <row r="123" spans="1:4" ht="13">
      <c r="A123" s="19"/>
      <c r="B123" s="20"/>
      <c r="C123" s="13"/>
    </row>
    <row r="124" spans="1:4" ht="13">
      <c r="A124" s="19" t="s">
        <v>293</v>
      </c>
      <c r="B124" s="20" t="s">
        <v>294</v>
      </c>
      <c r="C124" s="13">
        <v>800000</v>
      </c>
    </row>
    <row r="125" spans="1:4" ht="13">
      <c r="A125" s="19" t="s">
        <v>295</v>
      </c>
      <c r="B125" s="20" t="s">
        <v>296</v>
      </c>
      <c r="C125" s="13">
        <v>900000</v>
      </c>
      <c r="D125" s="21" t="s">
        <v>262</v>
      </c>
    </row>
    <row r="126" spans="1:4" ht="13">
      <c r="A126" s="19" t="s">
        <v>297</v>
      </c>
      <c r="B126" s="20" t="s">
        <v>298</v>
      </c>
      <c r="C126" s="13">
        <v>800000</v>
      </c>
      <c r="D126" s="21" t="s">
        <v>262</v>
      </c>
    </row>
    <row r="127" spans="1:4" ht="13">
      <c r="A127" s="19" t="s">
        <v>299</v>
      </c>
      <c r="B127" s="20" t="s">
        <v>300</v>
      </c>
      <c r="C127" s="13">
        <v>800000</v>
      </c>
    </row>
    <row r="128" spans="1:4" ht="13">
      <c r="A128" s="19" t="s">
        <v>301</v>
      </c>
      <c r="B128" s="20" t="s">
        <v>302</v>
      </c>
      <c r="C128" s="13">
        <v>900000</v>
      </c>
      <c r="D128" s="21" t="s">
        <v>262</v>
      </c>
    </row>
    <row r="129" spans="1:7" ht="13">
      <c r="A129" s="19" t="s">
        <v>303</v>
      </c>
      <c r="B129" s="20" t="s">
        <v>304</v>
      </c>
      <c r="C129" s="13">
        <v>900000</v>
      </c>
    </row>
    <row r="130" spans="1:7" ht="13">
      <c r="A130" s="19" t="s">
        <v>305</v>
      </c>
      <c r="B130" s="20" t="s">
        <v>306</v>
      </c>
      <c r="C130" s="13">
        <v>900000</v>
      </c>
    </row>
    <row r="131" spans="1:7" ht="13">
      <c r="A131" s="19" t="s">
        <v>307</v>
      </c>
      <c r="B131" s="20" t="s">
        <v>308</v>
      </c>
      <c r="C131" s="13">
        <v>1000000</v>
      </c>
    </row>
    <row r="132" spans="1:7" ht="13">
      <c r="A132" s="19" t="s">
        <v>309</v>
      </c>
      <c r="B132" s="20" t="s">
        <v>310</v>
      </c>
      <c r="C132" s="13">
        <v>400000</v>
      </c>
      <c r="D132" s="21" t="s">
        <v>311</v>
      </c>
    </row>
    <row r="133" spans="1:7" ht="13">
      <c r="A133" s="19" t="s">
        <v>312</v>
      </c>
      <c r="B133" s="20" t="s">
        <v>313</v>
      </c>
      <c r="C133" s="13">
        <v>900000</v>
      </c>
      <c r="D133" s="21" t="s">
        <v>262</v>
      </c>
    </row>
    <row r="134" spans="1:7" ht="13">
      <c r="A134" s="19" t="s">
        <v>314</v>
      </c>
      <c r="B134" s="20" t="s">
        <v>315</v>
      </c>
      <c r="C134" s="13">
        <v>900000</v>
      </c>
    </row>
    <row r="135" spans="1:7" ht="13">
      <c r="A135" s="19"/>
      <c r="B135" s="20"/>
      <c r="C135" s="13"/>
    </row>
    <row r="136" spans="1:7" ht="13">
      <c r="A136" s="19" t="s">
        <v>316</v>
      </c>
      <c r="B136" s="20" t="s">
        <v>317</v>
      </c>
      <c r="C136" s="13">
        <v>800000</v>
      </c>
    </row>
    <row r="137" spans="1:7" ht="13">
      <c r="A137" s="19" t="s">
        <v>318</v>
      </c>
      <c r="B137" s="20" t="s">
        <v>319</v>
      </c>
      <c r="C137" s="13">
        <v>800000</v>
      </c>
    </row>
    <row r="138" spans="1:7" ht="13">
      <c r="A138" s="19" t="s">
        <v>320</v>
      </c>
      <c r="B138" s="20" t="s">
        <v>321</v>
      </c>
      <c r="C138" s="13">
        <v>800000</v>
      </c>
    </row>
    <row r="139" spans="1:7" ht="13">
      <c r="A139" s="19" t="s">
        <v>322</v>
      </c>
      <c r="B139" s="20" t="s">
        <v>323</v>
      </c>
      <c r="C139" s="13">
        <v>900000</v>
      </c>
    </row>
    <row r="140" spans="1:7" ht="13">
      <c r="A140" s="19" t="s">
        <v>324</v>
      </c>
      <c r="B140" s="20" t="s">
        <v>325</v>
      </c>
      <c r="C140" s="13">
        <v>800000</v>
      </c>
    </row>
    <row r="141" spans="1:7" ht="13">
      <c r="A141" s="19" t="s">
        <v>326</v>
      </c>
      <c r="B141" s="20" t="s">
        <v>327</v>
      </c>
      <c r="C141" s="13">
        <v>800000</v>
      </c>
    </row>
    <row r="142" spans="1:7" ht="13">
      <c r="A142" s="19" t="s">
        <v>328</v>
      </c>
      <c r="B142" s="20" t="s">
        <v>329</v>
      </c>
      <c r="C142" s="13">
        <v>800000</v>
      </c>
    </row>
    <row r="143" spans="1:7" ht="13">
      <c r="A143" s="19" t="s">
        <v>330</v>
      </c>
      <c r="B143" s="20" t="s">
        <v>331</v>
      </c>
      <c r="C143" s="13">
        <v>800000</v>
      </c>
      <c r="D143" s="21" t="s">
        <v>262</v>
      </c>
    </row>
    <row r="144" spans="1:7" ht="13">
      <c r="A144" s="19" t="s">
        <v>332</v>
      </c>
      <c r="B144" s="20" t="s">
        <v>333</v>
      </c>
      <c r="C144" s="13">
        <v>900000</v>
      </c>
      <c r="D144" s="21" t="s">
        <v>262</v>
      </c>
      <c r="G144" s="22"/>
    </row>
    <row r="145" spans="1:4" ht="13">
      <c r="A145" s="19" t="s">
        <v>334</v>
      </c>
      <c r="B145" s="20" t="s">
        <v>335</v>
      </c>
      <c r="C145" s="13">
        <v>800000</v>
      </c>
      <c r="D145" s="21"/>
    </row>
    <row r="146" spans="1:4" ht="13">
      <c r="A146" s="19" t="s">
        <v>336</v>
      </c>
      <c r="B146" s="20" t="s">
        <v>337</v>
      </c>
      <c r="C146" s="13">
        <v>800000</v>
      </c>
      <c r="D146" s="21" t="s">
        <v>262</v>
      </c>
    </row>
    <row r="147" spans="1:4" ht="13">
      <c r="A147" s="19" t="s">
        <v>338</v>
      </c>
      <c r="B147" s="20" t="s">
        <v>339</v>
      </c>
      <c r="C147" s="13">
        <v>900000</v>
      </c>
    </row>
    <row r="148" spans="1:4" ht="13">
      <c r="A148" s="19" t="s">
        <v>340</v>
      </c>
      <c r="B148" s="20" t="s">
        <v>341</v>
      </c>
      <c r="C148" s="13">
        <v>1000000</v>
      </c>
    </row>
    <row r="149" spans="1:4" ht="13">
      <c r="A149" s="19" t="s">
        <v>342</v>
      </c>
      <c r="B149" s="20" t="s">
        <v>343</v>
      </c>
      <c r="C149" s="13">
        <v>400000</v>
      </c>
    </row>
    <row r="150" spans="1:4" ht="13">
      <c r="A150" s="19" t="s">
        <v>344</v>
      </c>
      <c r="B150" s="20" t="s">
        <v>345</v>
      </c>
      <c r="C150" s="13">
        <v>1100000</v>
      </c>
    </row>
    <row r="151" spans="1:4" ht="13">
      <c r="A151" s="19" t="s">
        <v>346</v>
      </c>
      <c r="B151" s="20" t="s">
        <v>347</v>
      </c>
      <c r="C151" s="13">
        <v>900000</v>
      </c>
    </row>
    <row r="152" spans="1:4" ht="13">
      <c r="A152" s="19" t="s">
        <v>348</v>
      </c>
      <c r="B152" s="20" t="s">
        <v>349</v>
      </c>
      <c r="C152" s="13">
        <v>800000</v>
      </c>
    </row>
    <row r="153" spans="1:4" ht="13">
      <c r="A153" s="19" t="s">
        <v>350</v>
      </c>
      <c r="B153" s="20" t="s">
        <v>351</v>
      </c>
      <c r="C153" s="13">
        <v>800000</v>
      </c>
    </row>
    <row r="154" spans="1:4" ht="13">
      <c r="A154" s="19" t="s">
        <v>352</v>
      </c>
      <c r="B154" s="20" t="s">
        <v>353</v>
      </c>
      <c r="C154" s="13">
        <v>800000</v>
      </c>
    </row>
    <row r="155" spans="1:4" ht="13">
      <c r="A155" s="19"/>
      <c r="B155" s="20"/>
      <c r="C155" s="13"/>
    </row>
    <row r="156" spans="1:4" ht="13">
      <c r="A156" s="19" t="s">
        <v>354</v>
      </c>
      <c r="B156" s="20" t="s">
        <v>355</v>
      </c>
      <c r="C156" s="13">
        <v>700000</v>
      </c>
    </row>
    <row r="157" spans="1:4" ht="13">
      <c r="A157" s="19" t="s">
        <v>356</v>
      </c>
      <c r="B157" s="20" t="s">
        <v>357</v>
      </c>
      <c r="C157" s="13">
        <v>1000000</v>
      </c>
    </row>
    <row r="158" spans="1:4" ht="13">
      <c r="A158" s="19" t="s">
        <v>358</v>
      </c>
      <c r="B158" s="20" t="s">
        <v>359</v>
      </c>
      <c r="C158" s="13">
        <v>900000</v>
      </c>
    </row>
    <row r="159" spans="1:4" ht="13">
      <c r="A159" s="19" t="s">
        <v>360</v>
      </c>
      <c r="B159" s="20" t="s">
        <v>361</v>
      </c>
      <c r="C159" s="13">
        <v>900000</v>
      </c>
    </row>
    <row r="160" spans="1:4" ht="13">
      <c r="A160" s="19" t="s">
        <v>362</v>
      </c>
      <c r="B160" s="23" t="s">
        <v>363</v>
      </c>
      <c r="C160" s="13">
        <v>900000</v>
      </c>
    </row>
    <row r="161" spans="1:4" ht="13">
      <c r="A161" s="19" t="s">
        <v>364</v>
      </c>
      <c r="B161" s="20" t="s">
        <v>365</v>
      </c>
      <c r="C161" s="13">
        <v>800000</v>
      </c>
    </row>
    <row r="162" spans="1:4" ht="13">
      <c r="A162" s="19" t="s">
        <v>366</v>
      </c>
      <c r="B162" s="20" t="s">
        <v>367</v>
      </c>
      <c r="C162" s="13">
        <v>800000</v>
      </c>
    </row>
    <row r="163" spans="1:4" ht="13">
      <c r="A163" s="19" t="s">
        <v>368</v>
      </c>
      <c r="B163" s="20" t="s">
        <v>369</v>
      </c>
      <c r="C163" s="13">
        <v>800000</v>
      </c>
    </row>
    <row r="164" spans="1:4" ht="13">
      <c r="A164" s="19" t="s">
        <v>370</v>
      </c>
      <c r="B164" s="20" t="s">
        <v>371</v>
      </c>
      <c r="C164" s="13">
        <v>400000</v>
      </c>
    </row>
    <row r="165" spans="1:4" ht="13">
      <c r="A165" s="19" t="s">
        <v>372</v>
      </c>
      <c r="B165" s="20" t="s">
        <v>373</v>
      </c>
      <c r="C165" s="13">
        <v>800000</v>
      </c>
    </row>
    <row r="166" spans="1:4" ht="13">
      <c r="A166" s="19" t="s">
        <v>374</v>
      </c>
      <c r="B166" s="20" t="s">
        <v>375</v>
      </c>
      <c r="C166" s="13">
        <v>800000</v>
      </c>
    </row>
    <row r="167" spans="1:4" ht="13">
      <c r="A167" s="19" t="s">
        <v>376</v>
      </c>
      <c r="B167" s="20" t="s">
        <v>377</v>
      </c>
      <c r="C167" s="13">
        <v>800000</v>
      </c>
    </row>
    <row r="168" spans="1:4" ht="13">
      <c r="A168" s="19" t="s">
        <v>378</v>
      </c>
      <c r="B168" s="20" t="s">
        <v>379</v>
      </c>
      <c r="C168" s="13">
        <v>800000</v>
      </c>
    </row>
    <row r="169" spans="1:4" ht="13">
      <c r="A169" s="19" t="s">
        <v>380</v>
      </c>
      <c r="B169" s="20" t="s">
        <v>381</v>
      </c>
      <c r="C169" s="13">
        <v>800000</v>
      </c>
    </row>
    <row r="170" spans="1:4" ht="13">
      <c r="A170" s="19" t="s">
        <v>382</v>
      </c>
      <c r="B170" s="20" t="s">
        <v>383</v>
      </c>
      <c r="C170" s="13">
        <v>800000</v>
      </c>
    </row>
    <row r="171" spans="1:4" ht="13">
      <c r="A171" s="19" t="s">
        <v>384</v>
      </c>
      <c r="B171" s="20" t="s">
        <v>385</v>
      </c>
      <c r="C171" s="13">
        <v>800000</v>
      </c>
    </row>
    <row r="172" spans="1:4" ht="13">
      <c r="A172" s="19" t="s">
        <v>386</v>
      </c>
      <c r="B172" s="20" t="s">
        <v>387</v>
      </c>
      <c r="C172" s="13">
        <v>900000</v>
      </c>
    </row>
    <row r="173" spans="1:4" ht="13">
      <c r="A173" s="19" t="s">
        <v>388</v>
      </c>
      <c r="B173" s="20" t="s">
        <v>389</v>
      </c>
      <c r="C173" s="13">
        <v>900000</v>
      </c>
    </row>
    <row r="174" spans="1:4" ht="13">
      <c r="A174" s="19" t="s">
        <v>390</v>
      </c>
      <c r="B174" s="20" t="s">
        <v>391</v>
      </c>
      <c r="C174" s="13">
        <v>800000</v>
      </c>
    </row>
    <row r="175" spans="1:4" ht="13">
      <c r="A175" s="19" t="s">
        <v>392</v>
      </c>
      <c r="B175" s="20" t="s">
        <v>393</v>
      </c>
      <c r="C175" s="13">
        <v>900000</v>
      </c>
      <c r="D175" s="21" t="s">
        <v>394</v>
      </c>
    </row>
    <row r="176" spans="1:4" ht="13">
      <c r="A176" s="19" t="s">
        <v>395</v>
      </c>
      <c r="B176" s="20" t="s">
        <v>396</v>
      </c>
      <c r="C176" s="13">
        <v>800000</v>
      </c>
    </row>
    <row r="177" spans="1:26" ht="13">
      <c r="A177" s="19" t="s">
        <v>397</v>
      </c>
      <c r="B177" s="20" t="s">
        <v>398</v>
      </c>
      <c r="C177" s="13">
        <v>800000</v>
      </c>
    </row>
    <row r="178" spans="1:26" ht="13">
      <c r="A178" s="19" t="s">
        <v>399</v>
      </c>
      <c r="B178" s="20" t="s">
        <v>400</v>
      </c>
      <c r="C178" s="13">
        <v>230000</v>
      </c>
    </row>
    <row r="179" spans="1:26" ht="13">
      <c r="A179" s="19" t="s">
        <v>401</v>
      </c>
      <c r="B179" s="20" t="s">
        <v>402</v>
      </c>
      <c r="C179" s="13">
        <v>230000</v>
      </c>
    </row>
    <row r="180" spans="1:26" ht="13">
      <c r="A180" s="19" t="s">
        <v>403</v>
      </c>
      <c r="B180" s="20" t="s">
        <v>404</v>
      </c>
      <c r="C180" s="13">
        <v>1200000</v>
      </c>
    </row>
    <row r="181" spans="1:26" ht="13">
      <c r="A181" s="24" t="s">
        <v>405</v>
      </c>
      <c r="B181" s="25" t="s">
        <v>406</v>
      </c>
      <c r="C181" s="13">
        <v>900000</v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3">
      <c r="A182" s="24" t="s">
        <v>407</v>
      </c>
      <c r="B182" s="25" t="s">
        <v>408</v>
      </c>
      <c r="C182" s="13">
        <v>800000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3">
      <c r="A183" s="24" t="s">
        <v>409</v>
      </c>
      <c r="B183" s="25" t="s">
        <v>410</v>
      </c>
      <c r="C183" s="13">
        <v>800000</v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3">
      <c r="A184" s="19"/>
      <c r="B184" s="20"/>
      <c r="C184" s="13"/>
    </row>
    <row r="185" spans="1:26" ht="13">
      <c r="A185" s="19" t="s">
        <v>411</v>
      </c>
      <c r="B185" s="20" t="s">
        <v>412</v>
      </c>
      <c r="C185" s="13">
        <v>800000</v>
      </c>
    </row>
    <row r="186" spans="1:26" ht="13">
      <c r="A186" s="19" t="s">
        <v>413</v>
      </c>
      <c r="B186" s="20" t="s">
        <v>414</v>
      </c>
      <c r="C186" s="13">
        <v>900000</v>
      </c>
    </row>
    <row r="187" spans="1:26" ht="13">
      <c r="A187" s="19" t="s">
        <v>415</v>
      </c>
      <c r="B187" s="20" t="s">
        <v>416</v>
      </c>
      <c r="C187" s="13">
        <v>800000</v>
      </c>
    </row>
    <row r="188" spans="1:26" ht="13">
      <c r="A188" s="19" t="s">
        <v>417</v>
      </c>
      <c r="B188" s="20" t="s">
        <v>418</v>
      </c>
      <c r="C188" s="13">
        <v>800000</v>
      </c>
    </row>
    <row r="189" spans="1:26" ht="13">
      <c r="A189" s="19" t="s">
        <v>419</v>
      </c>
      <c r="B189" s="20" t="s">
        <v>420</v>
      </c>
      <c r="C189" s="13">
        <v>900000</v>
      </c>
    </row>
    <row r="190" spans="1:26" ht="13">
      <c r="A190" s="19" t="s">
        <v>421</v>
      </c>
      <c r="B190" s="20" t="s">
        <v>422</v>
      </c>
      <c r="C190" s="26" t="s">
        <v>423</v>
      </c>
    </row>
    <row r="191" spans="1:26" ht="13">
      <c r="A191" s="19" t="s">
        <v>424</v>
      </c>
      <c r="B191" s="20" t="s">
        <v>425</v>
      </c>
      <c r="C191" s="13">
        <v>800000</v>
      </c>
    </row>
    <row r="192" spans="1:26" ht="13">
      <c r="A192" s="19" t="s">
        <v>426</v>
      </c>
      <c r="B192" s="20" t="s">
        <v>427</v>
      </c>
      <c r="C192" s="13">
        <v>800000</v>
      </c>
    </row>
    <row r="193" spans="1:26" ht="13">
      <c r="A193" s="19" t="s">
        <v>428</v>
      </c>
      <c r="B193" s="20" t="s">
        <v>429</v>
      </c>
      <c r="C193" s="13">
        <v>800000</v>
      </c>
    </row>
    <row r="194" spans="1:26" ht="13">
      <c r="A194" s="19" t="s">
        <v>430</v>
      </c>
      <c r="B194" s="20" t="s">
        <v>431</v>
      </c>
      <c r="C194" s="13">
        <v>800000</v>
      </c>
    </row>
    <row r="195" spans="1:26" ht="13">
      <c r="A195" s="19" t="s">
        <v>432</v>
      </c>
      <c r="B195" s="20" t="s">
        <v>433</v>
      </c>
      <c r="C195" s="13">
        <v>800000</v>
      </c>
    </row>
    <row r="196" spans="1:26" ht="13">
      <c r="A196" s="19" t="s">
        <v>434</v>
      </c>
      <c r="B196" s="20" t="s">
        <v>435</v>
      </c>
      <c r="C196" s="13">
        <v>400000</v>
      </c>
    </row>
    <row r="197" spans="1:26" ht="13">
      <c r="A197" s="24" t="s">
        <v>436</v>
      </c>
      <c r="B197" s="25" t="s">
        <v>437</v>
      </c>
      <c r="C197" s="13">
        <v>900000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3">
      <c r="A198" s="19" t="s">
        <v>438</v>
      </c>
      <c r="B198" s="20" t="s">
        <v>439</v>
      </c>
      <c r="C198" s="13">
        <v>800000</v>
      </c>
    </row>
    <row r="199" spans="1:26" ht="13">
      <c r="A199" s="19"/>
      <c r="B199" s="20"/>
      <c r="C199" s="13"/>
    </row>
    <row r="200" spans="1:26" ht="13">
      <c r="A200" s="19" t="s">
        <v>440</v>
      </c>
      <c r="B200" s="20" t="s">
        <v>441</v>
      </c>
      <c r="C200" s="13">
        <v>900000</v>
      </c>
    </row>
    <row r="201" spans="1:26" ht="13">
      <c r="A201" s="19" t="s">
        <v>442</v>
      </c>
      <c r="B201" s="20" t="s">
        <v>443</v>
      </c>
      <c r="C201" s="13">
        <v>900000</v>
      </c>
    </row>
    <row r="202" spans="1:26" ht="13">
      <c r="A202" s="19" t="s">
        <v>444</v>
      </c>
      <c r="B202" s="20" t="s">
        <v>445</v>
      </c>
      <c r="C202" s="13">
        <v>800000</v>
      </c>
    </row>
    <row r="203" spans="1:26" ht="13">
      <c r="A203" s="19" t="s">
        <v>446</v>
      </c>
      <c r="B203" s="20" t="s">
        <v>447</v>
      </c>
      <c r="C203" s="13">
        <v>800000</v>
      </c>
    </row>
    <row r="204" spans="1:26" ht="13">
      <c r="A204" s="19" t="s">
        <v>448</v>
      </c>
      <c r="B204" s="20" t="s">
        <v>449</v>
      </c>
      <c r="C204" s="13">
        <v>800000</v>
      </c>
    </row>
    <row r="205" spans="1:26" ht="13">
      <c r="A205" s="19" t="s">
        <v>450</v>
      </c>
      <c r="B205" s="20" t="s">
        <v>451</v>
      </c>
      <c r="C205" s="13">
        <v>800000</v>
      </c>
    </row>
    <row r="206" spans="1:26" ht="13">
      <c r="A206" s="19" t="s">
        <v>452</v>
      </c>
      <c r="B206" s="20" t="s">
        <v>453</v>
      </c>
      <c r="C206" s="13">
        <v>800000</v>
      </c>
    </row>
    <row r="207" spans="1:26" ht="13">
      <c r="A207" s="19" t="s">
        <v>67</v>
      </c>
      <c r="B207" s="20" t="s">
        <v>454</v>
      </c>
      <c r="C207" s="13">
        <v>800000</v>
      </c>
    </row>
    <row r="208" spans="1:26" ht="13">
      <c r="A208" s="19" t="s">
        <v>455</v>
      </c>
      <c r="B208" s="20" t="s">
        <v>456</v>
      </c>
      <c r="C208" s="13">
        <v>800000</v>
      </c>
    </row>
    <row r="209" spans="1:4" ht="13">
      <c r="A209" s="19" t="s">
        <v>457</v>
      </c>
      <c r="B209" s="20" t="s">
        <v>458</v>
      </c>
      <c r="C209" s="13">
        <v>800000</v>
      </c>
    </row>
    <row r="210" spans="1:4" ht="13">
      <c r="A210" s="19" t="s">
        <v>459</v>
      </c>
      <c r="B210" s="20" t="s">
        <v>460</v>
      </c>
      <c r="C210" s="13">
        <v>800000</v>
      </c>
    </row>
    <row r="211" spans="1:4" ht="13">
      <c r="A211" s="19" t="s">
        <v>461</v>
      </c>
      <c r="B211" s="20" t="s">
        <v>462</v>
      </c>
      <c r="C211" s="13">
        <v>800000</v>
      </c>
    </row>
    <row r="212" spans="1:4" ht="13">
      <c r="A212" s="19" t="s">
        <v>463</v>
      </c>
      <c r="B212" s="20" t="s">
        <v>464</v>
      </c>
      <c r="C212" s="13">
        <v>800000</v>
      </c>
    </row>
    <row r="213" spans="1:4" ht="13">
      <c r="A213" s="19" t="s">
        <v>465</v>
      </c>
      <c r="B213" s="20" t="s">
        <v>466</v>
      </c>
      <c r="C213" s="13">
        <v>600000</v>
      </c>
    </row>
    <row r="214" spans="1:4" ht="13">
      <c r="A214" s="19" t="s">
        <v>467</v>
      </c>
      <c r="B214" s="20" t="s">
        <v>468</v>
      </c>
      <c r="C214" s="13">
        <v>800000</v>
      </c>
      <c r="D214" s="21" t="s">
        <v>469</v>
      </c>
    </row>
    <row r="215" spans="1:4" ht="13">
      <c r="A215" s="19" t="s">
        <v>470</v>
      </c>
      <c r="B215" s="20" t="s">
        <v>471</v>
      </c>
      <c r="C215" s="13">
        <v>800000</v>
      </c>
    </row>
    <row r="216" spans="1:4" ht="13">
      <c r="A216" s="19" t="s">
        <v>472</v>
      </c>
      <c r="B216" s="20" t="s">
        <v>473</v>
      </c>
      <c r="C216" s="13">
        <v>800000</v>
      </c>
    </row>
    <row r="217" spans="1:4" ht="13">
      <c r="A217" s="19" t="s">
        <v>474</v>
      </c>
      <c r="B217" s="20" t="s">
        <v>475</v>
      </c>
      <c r="C217" s="13">
        <v>800000</v>
      </c>
    </row>
    <row r="218" spans="1:4" ht="13">
      <c r="A218" s="19" t="s">
        <v>476</v>
      </c>
      <c r="B218" s="20" t="s">
        <v>477</v>
      </c>
      <c r="C218" s="13">
        <v>900000</v>
      </c>
      <c r="D218" s="21" t="s">
        <v>311</v>
      </c>
    </row>
    <row r="219" spans="1:4" ht="13">
      <c r="A219" s="19" t="s">
        <v>478</v>
      </c>
      <c r="B219" s="20" t="s">
        <v>479</v>
      </c>
      <c r="C219" s="13">
        <v>1000000</v>
      </c>
    </row>
    <row r="220" spans="1:4" ht="13">
      <c r="A220" s="19" t="s">
        <v>480</v>
      </c>
      <c r="B220" s="20" t="s">
        <v>481</v>
      </c>
      <c r="C220" s="13">
        <v>1000000</v>
      </c>
    </row>
    <row r="221" spans="1:4" ht="13">
      <c r="A221" s="19" t="s">
        <v>482</v>
      </c>
      <c r="B221" s="20" t="s">
        <v>483</v>
      </c>
      <c r="C221" s="13">
        <v>900000</v>
      </c>
    </row>
    <row r="222" spans="1:4" ht="13">
      <c r="A222" s="19" t="s">
        <v>484</v>
      </c>
      <c r="B222" s="20" t="s">
        <v>485</v>
      </c>
      <c r="C222" s="13">
        <v>800000</v>
      </c>
    </row>
    <row r="223" spans="1:4" ht="13">
      <c r="A223" s="19" t="s">
        <v>486</v>
      </c>
      <c r="B223" s="20" t="s">
        <v>487</v>
      </c>
      <c r="C223" s="13">
        <v>900000</v>
      </c>
    </row>
    <row r="224" spans="1:4" ht="13">
      <c r="A224" s="19" t="s">
        <v>488</v>
      </c>
      <c r="B224" s="20" t="s">
        <v>489</v>
      </c>
      <c r="C224" s="13">
        <v>900000</v>
      </c>
    </row>
    <row r="225" spans="1:3" ht="13">
      <c r="A225" s="19" t="s">
        <v>490</v>
      </c>
      <c r="B225" s="20" t="s">
        <v>491</v>
      </c>
      <c r="C225" s="13">
        <v>900000</v>
      </c>
    </row>
    <row r="226" spans="1:3" ht="13">
      <c r="A226" s="19" t="s">
        <v>492</v>
      </c>
      <c r="B226" s="20" t="s">
        <v>493</v>
      </c>
      <c r="C226" s="13">
        <v>900000</v>
      </c>
    </row>
    <row r="227" spans="1:3" ht="13">
      <c r="A227" s="19" t="s">
        <v>494</v>
      </c>
      <c r="B227" s="20" t="s">
        <v>495</v>
      </c>
      <c r="C227" s="13">
        <v>1200000</v>
      </c>
    </row>
    <row r="228" spans="1:3" ht="13">
      <c r="A228" s="19" t="s">
        <v>496</v>
      </c>
      <c r="B228" s="20" t="s">
        <v>496</v>
      </c>
      <c r="C228" s="13">
        <v>800000</v>
      </c>
    </row>
    <row r="229" spans="1:3" ht="13">
      <c r="A229" s="19" t="s">
        <v>497</v>
      </c>
      <c r="B229" s="20" t="s">
        <v>498</v>
      </c>
      <c r="C229" s="13">
        <v>900000</v>
      </c>
    </row>
    <row r="230" spans="1:3" ht="13">
      <c r="A230" s="19" t="s">
        <v>499</v>
      </c>
      <c r="B230" s="20" t="s">
        <v>500</v>
      </c>
      <c r="C230" s="13">
        <v>800000</v>
      </c>
    </row>
    <row r="231" spans="1:3" ht="13">
      <c r="A231" s="19" t="s">
        <v>501</v>
      </c>
      <c r="B231" s="20" t="s">
        <v>502</v>
      </c>
      <c r="C231" s="13">
        <v>900000</v>
      </c>
    </row>
    <row r="232" spans="1:3" ht="13">
      <c r="A232" s="19" t="s">
        <v>503</v>
      </c>
      <c r="B232" s="20" t="s">
        <v>504</v>
      </c>
      <c r="C232" s="13">
        <v>800000</v>
      </c>
    </row>
    <row r="233" spans="1:3" ht="13">
      <c r="A233" s="19" t="s">
        <v>505</v>
      </c>
      <c r="B233" s="20" t="s">
        <v>506</v>
      </c>
      <c r="C233" s="13">
        <v>800000</v>
      </c>
    </row>
    <row r="234" spans="1:3" ht="13">
      <c r="A234" s="19" t="s">
        <v>507</v>
      </c>
      <c r="B234" s="20" t="s">
        <v>508</v>
      </c>
      <c r="C234" s="13">
        <v>800000</v>
      </c>
    </row>
    <row r="235" spans="1:3" ht="13">
      <c r="A235" s="19" t="s">
        <v>509</v>
      </c>
      <c r="B235" s="20" t="s">
        <v>510</v>
      </c>
      <c r="C235" s="13">
        <v>900000</v>
      </c>
    </row>
    <row r="236" spans="1:3" ht="13">
      <c r="A236" s="19" t="s">
        <v>511</v>
      </c>
      <c r="B236" s="20" t="s">
        <v>512</v>
      </c>
      <c r="C236" s="13">
        <v>800000</v>
      </c>
    </row>
    <row r="237" spans="1:3" ht="13">
      <c r="A237" s="19" t="s">
        <v>513</v>
      </c>
      <c r="B237" s="20" t="s">
        <v>514</v>
      </c>
      <c r="C237" s="13">
        <v>800000</v>
      </c>
    </row>
    <row r="238" spans="1:3" ht="13">
      <c r="A238" s="19" t="s">
        <v>515</v>
      </c>
      <c r="B238" s="20" t="s">
        <v>516</v>
      </c>
      <c r="C238" s="13">
        <v>800000</v>
      </c>
    </row>
    <row r="239" spans="1:3" ht="13">
      <c r="A239" s="19" t="s">
        <v>517</v>
      </c>
      <c r="B239" s="20" t="s">
        <v>518</v>
      </c>
      <c r="C239" s="13">
        <v>800000</v>
      </c>
    </row>
    <row r="240" spans="1:3" ht="13">
      <c r="A240" s="19" t="s">
        <v>519</v>
      </c>
      <c r="B240" s="20" t="s">
        <v>520</v>
      </c>
      <c r="C240" s="13">
        <v>800000</v>
      </c>
    </row>
    <row r="241" spans="1:3" ht="13">
      <c r="A241" s="19" t="s">
        <v>521</v>
      </c>
      <c r="B241" s="20" t="s">
        <v>522</v>
      </c>
      <c r="C241" s="13">
        <v>800000</v>
      </c>
    </row>
    <row r="242" spans="1:3" ht="13">
      <c r="A242" s="19" t="s">
        <v>523</v>
      </c>
      <c r="B242" s="20" t="s">
        <v>524</v>
      </c>
      <c r="C242" s="13">
        <v>800000</v>
      </c>
    </row>
    <row r="243" spans="1:3" ht="13">
      <c r="A243" s="19" t="s">
        <v>525</v>
      </c>
      <c r="B243" s="20" t="s">
        <v>526</v>
      </c>
      <c r="C243" s="13">
        <v>800000</v>
      </c>
    </row>
    <row r="244" spans="1:3" ht="13">
      <c r="A244" s="19" t="s">
        <v>527</v>
      </c>
      <c r="B244" s="20" t="s">
        <v>528</v>
      </c>
      <c r="C244" s="13">
        <v>800000</v>
      </c>
    </row>
    <row r="245" spans="1:3" ht="13">
      <c r="A245" s="19" t="s">
        <v>529</v>
      </c>
      <c r="B245" s="20" t="s">
        <v>530</v>
      </c>
      <c r="C245" s="13">
        <v>900000</v>
      </c>
    </row>
    <row r="246" spans="1:3" ht="13">
      <c r="A246" s="19" t="s">
        <v>531</v>
      </c>
      <c r="B246" s="20" t="s">
        <v>532</v>
      </c>
      <c r="C246" s="13">
        <v>900000</v>
      </c>
    </row>
    <row r="247" spans="1:3" ht="13">
      <c r="A247" s="19" t="s">
        <v>533</v>
      </c>
      <c r="B247" s="20" t="s">
        <v>534</v>
      </c>
      <c r="C247" s="13">
        <v>800000</v>
      </c>
    </row>
    <row r="248" spans="1:3" ht="13">
      <c r="A248" s="19" t="s">
        <v>535</v>
      </c>
      <c r="B248" s="20" t="s">
        <v>536</v>
      </c>
      <c r="C248" s="13">
        <v>800000</v>
      </c>
    </row>
    <row r="249" spans="1:3" ht="13">
      <c r="A249" s="19" t="s">
        <v>537</v>
      </c>
      <c r="B249" s="20" t="s">
        <v>538</v>
      </c>
      <c r="C249" s="13">
        <v>800000</v>
      </c>
    </row>
    <row r="250" spans="1:3" ht="13">
      <c r="A250" s="19" t="s">
        <v>539</v>
      </c>
      <c r="B250" s="20" t="s">
        <v>540</v>
      </c>
      <c r="C250" s="13">
        <v>800000</v>
      </c>
    </row>
    <row r="251" spans="1:3" ht="13">
      <c r="A251" s="19" t="s">
        <v>541</v>
      </c>
      <c r="B251" s="20" t="s">
        <v>542</v>
      </c>
      <c r="C251" s="13">
        <v>900000</v>
      </c>
    </row>
    <row r="252" spans="1:3" ht="13">
      <c r="A252" s="19" t="s">
        <v>543</v>
      </c>
      <c r="B252" s="20" t="s">
        <v>544</v>
      </c>
      <c r="C252" s="13">
        <v>800000</v>
      </c>
    </row>
    <row r="253" spans="1:3" ht="13">
      <c r="A253" s="19" t="s">
        <v>545</v>
      </c>
      <c r="B253" s="20" t="s">
        <v>546</v>
      </c>
      <c r="C253" s="13">
        <v>1200000</v>
      </c>
    </row>
    <row r="254" spans="1:3" ht="13">
      <c r="A254" s="19" t="s">
        <v>547</v>
      </c>
      <c r="B254" s="20" t="s">
        <v>548</v>
      </c>
      <c r="C254" s="13">
        <v>900000</v>
      </c>
    </row>
    <row r="255" spans="1:3" ht="13">
      <c r="A255" s="19" t="s">
        <v>549</v>
      </c>
      <c r="B255" s="20" t="s">
        <v>550</v>
      </c>
      <c r="C255" s="13">
        <v>900000</v>
      </c>
    </row>
    <row r="256" spans="1:3" ht="13">
      <c r="A256" s="19" t="s">
        <v>551</v>
      </c>
      <c r="B256" s="20" t="s">
        <v>552</v>
      </c>
      <c r="C256" s="13">
        <v>1100000</v>
      </c>
    </row>
    <row r="257" spans="1:8" ht="13">
      <c r="A257" s="19" t="s">
        <v>553</v>
      </c>
      <c r="B257" s="20" t="s">
        <v>554</v>
      </c>
      <c r="C257" s="13">
        <v>800000</v>
      </c>
    </row>
    <row r="258" spans="1:8" ht="13">
      <c r="A258" s="19" t="s">
        <v>555</v>
      </c>
      <c r="B258" s="20" t="s">
        <v>556</v>
      </c>
      <c r="C258" s="13">
        <v>900000</v>
      </c>
    </row>
    <row r="259" spans="1:8" ht="13">
      <c r="A259" s="19" t="s">
        <v>557</v>
      </c>
      <c r="B259" s="20" t="s">
        <v>558</v>
      </c>
      <c r="C259" s="13">
        <v>900000</v>
      </c>
    </row>
    <row r="260" spans="1:8" ht="13">
      <c r="A260" s="19" t="s">
        <v>559</v>
      </c>
      <c r="B260" s="20" t="s">
        <v>560</v>
      </c>
      <c r="C260" s="13">
        <v>1500000</v>
      </c>
    </row>
    <row r="261" spans="1:8" ht="13">
      <c r="A261" s="19" t="s">
        <v>561</v>
      </c>
      <c r="B261" s="20" t="s">
        <v>562</v>
      </c>
      <c r="C261" s="13">
        <v>800000</v>
      </c>
    </row>
    <row r="262" spans="1:8" ht="13">
      <c r="A262" s="19" t="s">
        <v>563</v>
      </c>
      <c r="B262" s="20" t="s">
        <v>564</v>
      </c>
      <c r="C262" s="13">
        <v>800000</v>
      </c>
    </row>
    <row r="263" spans="1:8" ht="13">
      <c r="A263" s="19"/>
      <c r="B263" s="20"/>
      <c r="C263" s="13"/>
    </row>
    <row r="264" spans="1:8" ht="13">
      <c r="A264" s="19" t="s">
        <v>565</v>
      </c>
      <c r="B264" s="20" t="s">
        <v>566</v>
      </c>
      <c r="C264" s="13">
        <v>900000</v>
      </c>
    </row>
    <row r="265" spans="1:8" ht="13">
      <c r="A265" s="19" t="s">
        <v>567</v>
      </c>
      <c r="B265" s="20" t="s">
        <v>568</v>
      </c>
      <c r="C265" s="13">
        <v>800000</v>
      </c>
    </row>
    <row r="266" spans="1:8" ht="13">
      <c r="A266" s="19" t="s">
        <v>569</v>
      </c>
      <c r="B266" s="20" t="s">
        <v>570</v>
      </c>
      <c r="C266" s="13">
        <v>900000</v>
      </c>
    </row>
    <row r="267" spans="1:8" ht="13">
      <c r="A267" s="19" t="s">
        <v>571</v>
      </c>
      <c r="B267" s="20" t="s">
        <v>572</v>
      </c>
      <c r="C267" s="13">
        <v>800000</v>
      </c>
    </row>
    <row r="268" spans="1:8" ht="13">
      <c r="A268" s="19" t="s">
        <v>573</v>
      </c>
      <c r="B268" s="20" t="s">
        <v>574</v>
      </c>
      <c r="C268" s="13">
        <v>900000</v>
      </c>
    </row>
    <row r="269" spans="1:8" ht="13">
      <c r="A269" s="19" t="s">
        <v>575</v>
      </c>
      <c r="B269" s="20" t="s">
        <v>576</v>
      </c>
      <c r="C269" s="13">
        <v>900000</v>
      </c>
    </row>
    <row r="270" spans="1:8" ht="13">
      <c r="A270" s="19" t="s">
        <v>577</v>
      </c>
      <c r="B270" s="20" t="s">
        <v>578</v>
      </c>
      <c r="C270" s="13">
        <v>800000</v>
      </c>
    </row>
    <row r="271" spans="1:8" ht="13">
      <c r="A271" s="19" t="s">
        <v>579</v>
      </c>
      <c r="B271" s="20" t="s">
        <v>580</v>
      </c>
      <c r="C271" s="13">
        <v>800000</v>
      </c>
      <c r="H271" s="21" t="s">
        <v>581</v>
      </c>
    </row>
    <row r="272" spans="1:8" ht="13">
      <c r="A272" s="19" t="s">
        <v>582</v>
      </c>
      <c r="B272" s="20" t="s">
        <v>583</v>
      </c>
      <c r="C272" s="13">
        <v>900000</v>
      </c>
      <c r="H272" s="21" t="s">
        <v>584</v>
      </c>
    </row>
    <row r="273" spans="1:3" ht="13">
      <c r="A273" s="19" t="s">
        <v>585</v>
      </c>
      <c r="B273" s="20" t="s">
        <v>586</v>
      </c>
      <c r="C273" s="13">
        <v>800000</v>
      </c>
    </row>
    <row r="274" spans="1:3" ht="13">
      <c r="A274" s="19" t="s">
        <v>587</v>
      </c>
      <c r="B274" s="20" t="s">
        <v>588</v>
      </c>
      <c r="C274" s="13">
        <v>800000</v>
      </c>
    </row>
    <row r="275" spans="1:3" ht="13">
      <c r="A275" s="19" t="s">
        <v>589</v>
      </c>
      <c r="B275" s="20" t="s">
        <v>590</v>
      </c>
      <c r="C275" s="13">
        <v>1200000</v>
      </c>
    </row>
    <row r="276" spans="1:3" ht="13">
      <c r="A276" s="19" t="s">
        <v>591</v>
      </c>
      <c r="B276" s="20" t="s">
        <v>592</v>
      </c>
      <c r="C276" s="13">
        <v>900000</v>
      </c>
    </row>
    <row r="277" spans="1:3" ht="13">
      <c r="A277" s="19" t="s">
        <v>593</v>
      </c>
      <c r="B277" s="20" t="s">
        <v>594</v>
      </c>
      <c r="C277" s="13">
        <v>800000</v>
      </c>
    </row>
    <row r="278" spans="1:3" ht="13">
      <c r="A278" s="19" t="s">
        <v>595</v>
      </c>
      <c r="B278" s="20" t="s">
        <v>596</v>
      </c>
      <c r="C278" s="13">
        <v>800000</v>
      </c>
    </row>
    <row r="279" spans="1:3" ht="13">
      <c r="A279" s="19" t="s">
        <v>597</v>
      </c>
      <c r="B279" s="20" t="s">
        <v>598</v>
      </c>
      <c r="C279" s="13">
        <v>1300000</v>
      </c>
    </row>
    <row r="280" spans="1:3" ht="13">
      <c r="A280" s="19" t="s">
        <v>599</v>
      </c>
      <c r="B280" s="20" t="s">
        <v>600</v>
      </c>
      <c r="C280" s="13">
        <v>900000</v>
      </c>
    </row>
    <row r="281" spans="1:3" ht="13">
      <c r="A281" s="19" t="s">
        <v>601</v>
      </c>
      <c r="B281" s="20" t="s">
        <v>602</v>
      </c>
      <c r="C281" s="13">
        <v>800000</v>
      </c>
    </row>
    <row r="282" spans="1:3" ht="13">
      <c r="A282" s="14" t="s">
        <v>603</v>
      </c>
      <c r="B282" s="15" t="s">
        <v>604</v>
      </c>
      <c r="C282" s="13">
        <v>800000</v>
      </c>
    </row>
    <row r="283" spans="1:3" ht="13">
      <c r="A283" s="14" t="s">
        <v>605</v>
      </c>
      <c r="B283" s="15" t="s">
        <v>606</v>
      </c>
      <c r="C283" s="13">
        <v>900000</v>
      </c>
    </row>
    <row r="284" spans="1:3" ht="13">
      <c r="A284" s="14" t="s">
        <v>607</v>
      </c>
      <c r="B284" s="15" t="s">
        <v>608</v>
      </c>
      <c r="C284" s="13">
        <v>800000</v>
      </c>
    </row>
    <row r="285" spans="1:3" ht="13">
      <c r="A285" s="14" t="s">
        <v>609</v>
      </c>
      <c r="B285" s="15" t="s">
        <v>610</v>
      </c>
      <c r="C285" s="13">
        <v>800000</v>
      </c>
    </row>
    <row r="286" spans="1:3" ht="13">
      <c r="A286" s="14" t="s">
        <v>611</v>
      </c>
      <c r="B286" s="15" t="s">
        <v>612</v>
      </c>
      <c r="C286" s="13">
        <v>900000</v>
      </c>
    </row>
    <row r="287" spans="1:3" ht="13">
      <c r="A287" s="14" t="s">
        <v>613</v>
      </c>
      <c r="B287" s="15" t="s">
        <v>614</v>
      </c>
      <c r="C287" s="13">
        <v>800000</v>
      </c>
    </row>
    <row r="288" spans="1:3" ht="13">
      <c r="A288" s="14" t="s">
        <v>615</v>
      </c>
      <c r="B288" s="15" t="s">
        <v>616</v>
      </c>
      <c r="C288" s="13">
        <v>900000</v>
      </c>
    </row>
    <row r="289" spans="1:26" ht="13">
      <c r="A289" s="14" t="s">
        <v>617</v>
      </c>
      <c r="B289" s="15" t="s">
        <v>618</v>
      </c>
      <c r="C289" s="13">
        <v>800000</v>
      </c>
    </row>
    <row r="290" spans="1:26" ht="13">
      <c r="A290" s="14" t="s">
        <v>619</v>
      </c>
      <c r="B290" s="15" t="s">
        <v>620</v>
      </c>
      <c r="C290" s="13">
        <v>800000</v>
      </c>
      <c r="D290" s="21" t="s">
        <v>394</v>
      </c>
    </row>
    <row r="291" spans="1:26" ht="13">
      <c r="A291" s="14" t="s">
        <v>621</v>
      </c>
      <c r="B291" s="15" t="s">
        <v>622</v>
      </c>
      <c r="C291" s="13">
        <v>800000</v>
      </c>
    </row>
    <row r="292" spans="1:26" ht="13">
      <c r="A292" s="22" t="s">
        <v>623</v>
      </c>
      <c r="B292" s="22" t="s">
        <v>624</v>
      </c>
      <c r="C292" s="22">
        <v>900000</v>
      </c>
    </row>
    <row r="293" spans="1:26" ht="13">
      <c r="A293" s="22" t="s">
        <v>625</v>
      </c>
      <c r="B293" s="22" t="s">
        <v>626</v>
      </c>
      <c r="C293" s="22">
        <v>1000000</v>
      </c>
    </row>
    <row r="294" spans="1:26" ht="13">
      <c r="A294" s="27" t="s">
        <v>627</v>
      </c>
      <c r="B294" s="28" t="s">
        <v>628</v>
      </c>
      <c r="C294" s="29">
        <v>800000</v>
      </c>
    </row>
    <row r="295" spans="1:26" ht="13">
      <c r="A295" s="27" t="s">
        <v>629</v>
      </c>
      <c r="B295" s="28" t="s">
        <v>630</v>
      </c>
      <c r="C295" s="29">
        <v>800000</v>
      </c>
    </row>
    <row r="296" spans="1:26" ht="13">
      <c r="A296" s="27" t="s">
        <v>631</v>
      </c>
      <c r="B296" s="28" t="s">
        <v>632</v>
      </c>
      <c r="C296" s="29">
        <v>900000</v>
      </c>
    </row>
    <row r="297" spans="1:26" ht="13">
      <c r="A297" s="27" t="s">
        <v>633</v>
      </c>
      <c r="B297" s="28" t="s">
        <v>634</v>
      </c>
      <c r="C297" s="29">
        <v>1000000</v>
      </c>
    </row>
    <row r="298" spans="1:26" ht="13">
      <c r="A298" s="27"/>
      <c r="B298" s="28"/>
      <c r="C298" s="29"/>
    </row>
    <row r="299" spans="1:26" ht="13">
      <c r="A299" s="27" t="s">
        <v>635</v>
      </c>
      <c r="B299" s="28" t="s">
        <v>636</v>
      </c>
      <c r="C299" s="29">
        <v>800000</v>
      </c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3">
      <c r="A300" s="14" t="s">
        <v>637</v>
      </c>
      <c r="B300" s="15" t="s">
        <v>638</v>
      </c>
      <c r="C300" s="13">
        <v>900000</v>
      </c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3">
      <c r="A301" s="14" t="s">
        <v>639</v>
      </c>
      <c r="B301" s="15" t="s">
        <v>640</v>
      </c>
      <c r="C301" s="13">
        <v>800000</v>
      </c>
    </row>
    <row r="302" spans="1:26" ht="13">
      <c r="A302" s="14" t="s">
        <v>641</v>
      </c>
      <c r="B302" s="15" t="s">
        <v>642</v>
      </c>
      <c r="C302" s="13">
        <v>800000</v>
      </c>
    </row>
    <row r="303" spans="1:26" ht="13">
      <c r="A303" s="14" t="s">
        <v>643</v>
      </c>
      <c r="B303" s="15" t="s">
        <v>644</v>
      </c>
      <c r="C303" s="13">
        <v>800000</v>
      </c>
    </row>
    <row r="304" spans="1:26" ht="13">
      <c r="A304" s="14" t="s">
        <v>645</v>
      </c>
      <c r="B304" s="15" t="s">
        <v>646</v>
      </c>
      <c r="C304" s="13">
        <v>600000</v>
      </c>
    </row>
    <row r="305" spans="1:3" ht="13">
      <c r="A305" s="14" t="s">
        <v>647</v>
      </c>
      <c r="B305" s="15" t="s">
        <v>648</v>
      </c>
      <c r="C305" s="13">
        <v>900000</v>
      </c>
    </row>
    <row r="306" spans="1:3" ht="13">
      <c r="A306" s="14" t="s">
        <v>649</v>
      </c>
      <c r="B306" s="15" t="s">
        <v>650</v>
      </c>
      <c r="C306" s="13">
        <v>800000</v>
      </c>
    </row>
    <row r="307" spans="1:3" ht="13">
      <c r="A307" s="14" t="s">
        <v>651</v>
      </c>
      <c r="B307" s="15" t="s">
        <v>652</v>
      </c>
      <c r="C307" s="13">
        <v>800000</v>
      </c>
    </row>
    <row r="308" spans="1:3" ht="13">
      <c r="A308" s="19" t="s">
        <v>653</v>
      </c>
      <c r="B308" s="30" t="s">
        <v>654</v>
      </c>
      <c r="C308" s="13">
        <v>800000</v>
      </c>
    </row>
    <row r="309" spans="1:3" ht="13">
      <c r="A309" s="19" t="s">
        <v>655</v>
      </c>
      <c r="B309" s="30" t="s">
        <v>656</v>
      </c>
      <c r="C309" s="13">
        <v>800000</v>
      </c>
    </row>
    <row r="310" spans="1:3" ht="13">
      <c r="A310" s="19"/>
      <c r="B310" s="20"/>
      <c r="C310" s="13"/>
    </row>
    <row r="311" spans="1:3" ht="13">
      <c r="A311" s="19" t="s">
        <v>657</v>
      </c>
      <c r="B311" s="20" t="s">
        <v>658</v>
      </c>
      <c r="C311" s="13">
        <v>800000</v>
      </c>
    </row>
    <row r="312" spans="1:3" ht="13">
      <c r="A312" s="19" t="s">
        <v>659</v>
      </c>
      <c r="B312" s="20" t="s">
        <v>660</v>
      </c>
      <c r="C312" s="13">
        <v>800000</v>
      </c>
    </row>
    <row r="313" spans="1:3" ht="13">
      <c r="A313" s="19" t="s">
        <v>661</v>
      </c>
      <c r="B313" s="20" t="s">
        <v>662</v>
      </c>
      <c r="C313" s="13">
        <v>800000</v>
      </c>
    </row>
    <row r="314" spans="1:3" ht="13">
      <c r="A314" s="19" t="s">
        <v>663</v>
      </c>
      <c r="B314" s="20" t="s">
        <v>664</v>
      </c>
      <c r="C314" s="13">
        <v>800000</v>
      </c>
    </row>
    <row r="315" spans="1:3" ht="13">
      <c r="A315" s="19" t="s">
        <v>665</v>
      </c>
      <c r="B315" s="20" t="s">
        <v>666</v>
      </c>
      <c r="C315" s="13">
        <v>800000</v>
      </c>
    </row>
    <row r="316" spans="1:3" ht="13">
      <c r="A316" s="19" t="s">
        <v>667</v>
      </c>
      <c r="B316" s="20" t="s">
        <v>668</v>
      </c>
      <c r="C316" s="13">
        <v>800000</v>
      </c>
    </row>
    <row r="317" spans="1:3" ht="13">
      <c r="A317" s="19" t="s">
        <v>669</v>
      </c>
      <c r="B317" s="20" t="s">
        <v>670</v>
      </c>
      <c r="C317" s="13">
        <v>800000</v>
      </c>
    </row>
    <row r="318" spans="1:3" ht="13">
      <c r="A318" s="19" t="s">
        <v>671</v>
      </c>
      <c r="B318" s="20" t="s">
        <v>672</v>
      </c>
      <c r="C318" s="13">
        <v>800000</v>
      </c>
    </row>
    <row r="319" spans="1:3" ht="13">
      <c r="A319" s="19" t="s">
        <v>673</v>
      </c>
      <c r="B319" s="20" t="s">
        <v>674</v>
      </c>
      <c r="C319" s="13">
        <v>500000</v>
      </c>
    </row>
    <row r="320" spans="1:3" ht="13">
      <c r="A320" s="19" t="s">
        <v>675</v>
      </c>
      <c r="B320" s="20" t="s">
        <v>676</v>
      </c>
      <c r="C320" s="13">
        <v>800000</v>
      </c>
    </row>
    <row r="321" spans="1:3" ht="13">
      <c r="A321" s="19" t="s">
        <v>677</v>
      </c>
      <c r="B321" s="20" t="s">
        <v>678</v>
      </c>
      <c r="C321" s="13">
        <v>800000</v>
      </c>
    </row>
    <row r="322" spans="1:3" ht="13">
      <c r="A322" s="19" t="s">
        <v>679</v>
      </c>
      <c r="B322" s="20" t="s">
        <v>680</v>
      </c>
      <c r="C322" s="13">
        <v>800000</v>
      </c>
    </row>
    <row r="323" spans="1:3" ht="13">
      <c r="A323" s="19" t="s">
        <v>681</v>
      </c>
      <c r="B323" s="20" t="s">
        <v>682</v>
      </c>
      <c r="C323" s="13">
        <v>800000</v>
      </c>
    </row>
    <row r="324" spans="1:3" ht="13">
      <c r="A324" s="19" t="s">
        <v>683</v>
      </c>
      <c r="B324" s="20" t="s">
        <v>684</v>
      </c>
      <c r="C324" s="13">
        <v>800000</v>
      </c>
    </row>
    <row r="325" spans="1:3" ht="13">
      <c r="A325" s="19" t="s">
        <v>685</v>
      </c>
      <c r="B325" s="20" t="s">
        <v>686</v>
      </c>
      <c r="C325" s="13">
        <v>800000</v>
      </c>
    </row>
    <row r="326" spans="1:3" ht="13">
      <c r="A326" s="19" t="s">
        <v>687</v>
      </c>
      <c r="B326" s="20" t="s">
        <v>688</v>
      </c>
      <c r="C326" s="13">
        <v>800000</v>
      </c>
    </row>
    <row r="327" spans="1:3" ht="13">
      <c r="A327" s="19" t="s">
        <v>689</v>
      </c>
      <c r="B327" s="20" t="s">
        <v>690</v>
      </c>
      <c r="C327" s="13">
        <v>800000</v>
      </c>
    </row>
    <row r="328" spans="1:3" ht="13">
      <c r="A328" s="19" t="s">
        <v>691</v>
      </c>
      <c r="B328" s="20" t="s">
        <v>692</v>
      </c>
      <c r="C328" s="13">
        <v>900000</v>
      </c>
    </row>
    <row r="329" spans="1:3" ht="13">
      <c r="A329" s="19" t="s">
        <v>693</v>
      </c>
      <c r="B329" s="20" t="s">
        <v>694</v>
      </c>
      <c r="C329" s="13">
        <v>800000</v>
      </c>
    </row>
    <row r="330" spans="1:3" ht="13">
      <c r="A330" s="19" t="s">
        <v>695</v>
      </c>
      <c r="B330" s="20" t="s">
        <v>696</v>
      </c>
      <c r="C330" s="13">
        <v>800000</v>
      </c>
    </row>
    <row r="331" spans="1:3" ht="13">
      <c r="A331" s="19" t="s">
        <v>697</v>
      </c>
      <c r="B331" s="20" t="s">
        <v>698</v>
      </c>
      <c r="C331" s="13">
        <v>800000</v>
      </c>
    </row>
    <row r="332" spans="1:3" ht="13">
      <c r="A332" s="19" t="s">
        <v>699</v>
      </c>
      <c r="B332" s="20" t="s">
        <v>700</v>
      </c>
      <c r="C332" s="13">
        <v>900000</v>
      </c>
    </row>
    <row r="333" spans="1:3" ht="13">
      <c r="A333" s="19" t="s">
        <v>701</v>
      </c>
      <c r="B333" s="20" t="s">
        <v>702</v>
      </c>
      <c r="C333" s="13">
        <v>800000</v>
      </c>
    </row>
    <row r="334" spans="1:3" ht="13">
      <c r="A334" s="19" t="s">
        <v>428</v>
      </c>
      <c r="B334" s="20" t="s">
        <v>703</v>
      </c>
      <c r="C334" s="13">
        <v>800000</v>
      </c>
    </row>
    <row r="335" spans="1:3" ht="13">
      <c r="A335" s="19" t="s">
        <v>704</v>
      </c>
      <c r="B335" s="20" t="s">
        <v>705</v>
      </c>
      <c r="C335" s="13">
        <v>900000</v>
      </c>
    </row>
    <row r="336" spans="1:3" ht="13">
      <c r="A336" s="19" t="s">
        <v>706</v>
      </c>
      <c r="B336" s="20" t="s">
        <v>707</v>
      </c>
      <c r="C336" s="13">
        <v>900000</v>
      </c>
    </row>
    <row r="337" spans="1:3" ht="13">
      <c r="A337" s="19" t="s">
        <v>708</v>
      </c>
      <c r="B337" s="20" t="s">
        <v>709</v>
      </c>
      <c r="C337" s="13">
        <v>800000</v>
      </c>
    </row>
    <row r="338" spans="1:3" ht="13">
      <c r="A338" s="19" t="s">
        <v>710</v>
      </c>
      <c r="B338" s="20" t="s">
        <v>711</v>
      </c>
      <c r="C338" s="13">
        <v>800000</v>
      </c>
    </row>
    <row r="339" spans="1:3" ht="13">
      <c r="A339" s="19" t="s">
        <v>712</v>
      </c>
      <c r="B339" s="20" t="s">
        <v>713</v>
      </c>
      <c r="C339" s="13">
        <v>800000</v>
      </c>
    </row>
    <row r="340" spans="1:3" ht="13">
      <c r="A340" s="19" t="s">
        <v>714</v>
      </c>
      <c r="B340" s="20" t="s">
        <v>715</v>
      </c>
      <c r="C340" s="13">
        <v>900000</v>
      </c>
    </row>
    <row r="341" spans="1:3" ht="13">
      <c r="A341" s="19" t="s">
        <v>716</v>
      </c>
      <c r="B341" s="20" t="s">
        <v>717</v>
      </c>
      <c r="C341" s="13">
        <v>800000</v>
      </c>
    </row>
    <row r="342" spans="1:3" ht="13">
      <c r="A342" s="19" t="s">
        <v>718</v>
      </c>
      <c r="B342" s="20" t="s">
        <v>719</v>
      </c>
      <c r="C342" s="13">
        <v>800000</v>
      </c>
    </row>
    <row r="343" spans="1:3" ht="13">
      <c r="A343" s="19"/>
      <c r="B343" s="20"/>
      <c r="C343" s="13"/>
    </row>
    <row r="344" spans="1:3" ht="13">
      <c r="A344" s="19" t="s">
        <v>720</v>
      </c>
      <c r="B344" s="20" t="s">
        <v>721</v>
      </c>
      <c r="C344" s="13">
        <v>800000</v>
      </c>
    </row>
    <row r="345" spans="1:3" ht="14">
      <c r="A345" s="19" t="s">
        <v>722</v>
      </c>
      <c r="B345" s="31" t="s">
        <v>723</v>
      </c>
      <c r="C345" s="13">
        <v>800000</v>
      </c>
    </row>
    <row r="346" spans="1:3" ht="14">
      <c r="A346" s="19" t="s">
        <v>724</v>
      </c>
      <c r="B346" s="31" t="s">
        <v>725</v>
      </c>
      <c r="C346" s="13">
        <v>800000</v>
      </c>
    </row>
    <row r="347" spans="1:3" ht="13">
      <c r="A347" s="19" t="s">
        <v>726</v>
      </c>
      <c r="B347" s="20" t="s">
        <v>727</v>
      </c>
      <c r="C347" s="13">
        <v>800000</v>
      </c>
    </row>
    <row r="348" spans="1:3" ht="13">
      <c r="A348" s="19" t="s">
        <v>728</v>
      </c>
      <c r="B348" s="20" t="s">
        <v>729</v>
      </c>
      <c r="C348" s="13">
        <v>800000</v>
      </c>
    </row>
    <row r="349" spans="1:3" ht="13">
      <c r="A349" s="19" t="s">
        <v>730</v>
      </c>
      <c r="B349" s="20" t="s">
        <v>731</v>
      </c>
      <c r="C349" s="13">
        <v>800000</v>
      </c>
    </row>
    <row r="350" spans="1:3" ht="13">
      <c r="A350" s="19" t="s">
        <v>732</v>
      </c>
      <c r="B350" s="20" t="s">
        <v>733</v>
      </c>
      <c r="C350" s="13">
        <v>800000</v>
      </c>
    </row>
    <row r="351" spans="1:3" ht="13">
      <c r="A351" s="19" t="s">
        <v>734</v>
      </c>
      <c r="B351" s="20" t="s">
        <v>735</v>
      </c>
      <c r="C351" s="13">
        <v>800000</v>
      </c>
    </row>
    <row r="352" spans="1:3" ht="13">
      <c r="A352" s="19" t="s">
        <v>736</v>
      </c>
      <c r="B352" s="20" t="s">
        <v>737</v>
      </c>
      <c r="C352" s="13">
        <v>800000</v>
      </c>
    </row>
    <row r="353" spans="1:4" ht="13">
      <c r="A353" s="19" t="s">
        <v>738</v>
      </c>
      <c r="B353" s="20" t="s">
        <v>739</v>
      </c>
      <c r="C353" s="13">
        <v>800000</v>
      </c>
    </row>
    <row r="354" spans="1:4" ht="13">
      <c r="A354" s="19" t="s">
        <v>740</v>
      </c>
      <c r="B354" s="20" t="s">
        <v>741</v>
      </c>
      <c r="C354" s="13">
        <v>800000</v>
      </c>
    </row>
    <row r="355" spans="1:4" ht="13">
      <c r="A355" s="19" t="s">
        <v>742</v>
      </c>
      <c r="B355" s="20" t="s">
        <v>743</v>
      </c>
      <c r="C355" s="13">
        <v>800000</v>
      </c>
    </row>
    <row r="356" spans="1:4" ht="13">
      <c r="A356" s="19" t="s">
        <v>744</v>
      </c>
      <c r="B356" s="20" t="s">
        <v>745</v>
      </c>
      <c r="C356" s="13">
        <v>900000</v>
      </c>
    </row>
    <row r="357" spans="1:4" ht="13">
      <c r="A357" s="19" t="s">
        <v>746</v>
      </c>
      <c r="B357" s="20" t="s">
        <v>747</v>
      </c>
      <c r="C357" s="13">
        <v>800000</v>
      </c>
    </row>
    <row r="358" spans="1:4" ht="13">
      <c r="A358" s="19" t="s">
        <v>748</v>
      </c>
      <c r="B358" s="20" t="s">
        <v>749</v>
      </c>
      <c r="C358" s="13">
        <v>800000</v>
      </c>
    </row>
    <row r="359" spans="1:4" ht="13">
      <c r="A359" s="19" t="s">
        <v>750</v>
      </c>
      <c r="B359" s="20" t="s">
        <v>751</v>
      </c>
      <c r="C359" s="13">
        <v>800000</v>
      </c>
    </row>
    <row r="360" spans="1:4" ht="13">
      <c r="A360" s="19" t="s">
        <v>752</v>
      </c>
      <c r="B360" s="20" t="s">
        <v>753</v>
      </c>
      <c r="C360" s="13">
        <v>800000</v>
      </c>
    </row>
    <row r="361" spans="1:4" ht="13">
      <c r="A361" s="19" t="s">
        <v>754</v>
      </c>
      <c r="B361" s="20" t="s">
        <v>755</v>
      </c>
      <c r="C361" s="13">
        <v>800000</v>
      </c>
    </row>
    <row r="362" spans="1:4" ht="13">
      <c r="A362" s="19" t="s">
        <v>756</v>
      </c>
      <c r="B362" s="20" t="s">
        <v>757</v>
      </c>
      <c r="C362" s="13">
        <v>800000</v>
      </c>
    </row>
    <row r="363" spans="1:4" ht="13">
      <c r="A363" s="19" t="s">
        <v>758</v>
      </c>
      <c r="B363" s="20" t="s">
        <v>759</v>
      </c>
      <c r="C363" s="13">
        <v>800000</v>
      </c>
    </row>
    <row r="364" spans="1:4" ht="13">
      <c r="A364" s="19" t="s">
        <v>760</v>
      </c>
      <c r="B364" s="20" t="s">
        <v>761</v>
      </c>
      <c r="C364" s="13">
        <v>800000</v>
      </c>
    </row>
    <row r="365" spans="1:4" ht="13">
      <c r="A365" s="19" t="s">
        <v>762</v>
      </c>
      <c r="B365" s="20" t="s">
        <v>763</v>
      </c>
      <c r="C365" s="13">
        <v>1000000</v>
      </c>
      <c r="D365" s="21" t="s">
        <v>394</v>
      </c>
    </row>
    <row r="366" spans="1:4" ht="13">
      <c r="A366" s="19" t="s">
        <v>764</v>
      </c>
      <c r="B366" s="20" t="s">
        <v>765</v>
      </c>
      <c r="C366" s="13">
        <v>900000</v>
      </c>
      <c r="D366" s="21" t="s">
        <v>766</v>
      </c>
    </row>
    <row r="367" spans="1:4" ht="13">
      <c r="A367" s="19" t="s">
        <v>767</v>
      </c>
      <c r="B367" s="20" t="s">
        <v>768</v>
      </c>
      <c r="C367" s="13">
        <v>800000</v>
      </c>
    </row>
    <row r="368" spans="1:4" ht="13">
      <c r="A368" s="19" t="s">
        <v>769</v>
      </c>
      <c r="B368" s="20" t="s">
        <v>770</v>
      </c>
      <c r="C368" s="13">
        <v>1500000</v>
      </c>
    </row>
    <row r="369" spans="1:3" ht="13">
      <c r="A369" s="19" t="s">
        <v>771</v>
      </c>
      <c r="B369" s="20" t="s">
        <v>772</v>
      </c>
      <c r="C369" s="13">
        <v>800000</v>
      </c>
    </row>
    <row r="370" spans="1:3" ht="13">
      <c r="A370" s="19" t="s">
        <v>773</v>
      </c>
      <c r="B370" s="20" t="s">
        <v>774</v>
      </c>
      <c r="C370" s="13">
        <v>400000</v>
      </c>
    </row>
    <row r="371" spans="1:3" ht="13">
      <c r="A371" s="19" t="s">
        <v>775</v>
      </c>
      <c r="B371" s="20" t="s">
        <v>776</v>
      </c>
      <c r="C371" s="13">
        <v>800000</v>
      </c>
    </row>
    <row r="372" spans="1:3" ht="13">
      <c r="A372" s="19" t="s">
        <v>777</v>
      </c>
      <c r="B372" s="20" t="s">
        <v>778</v>
      </c>
      <c r="C372" s="13">
        <v>800000</v>
      </c>
    </row>
    <row r="373" spans="1:3" ht="13">
      <c r="A373" s="19" t="s">
        <v>779</v>
      </c>
      <c r="B373" s="20" t="s">
        <v>780</v>
      </c>
      <c r="C373" s="13">
        <v>900000</v>
      </c>
    </row>
    <row r="374" spans="1:3" ht="13">
      <c r="A374" s="19"/>
      <c r="B374" s="20"/>
      <c r="C374" s="13"/>
    </row>
    <row r="375" spans="1:3" ht="13">
      <c r="A375" s="19" t="s">
        <v>781</v>
      </c>
      <c r="B375" s="20" t="s">
        <v>782</v>
      </c>
      <c r="C375" s="13">
        <v>900000</v>
      </c>
    </row>
    <row r="376" spans="1:3" ht="13">
      <c r="A376" s="19" t="s">
        <v>783</v>
      </c>
      <c r="B376" s="20" t="s">
        <v>784</v>
      </c>
      <c r="C376" s="13">
        <v>800000</v>
      </c>
    </row>
    <row r="377" spans="1:3" ht="13">
      <c r="A377" s="19" t="s">
        <v>785</v>
      </c>
      <c r="B377" s="20" t="s">
        <v>786</v>
      </c>
      <c r="C377" s="13">
        <v>800000</v>
      </c>
    </row>
    <row r="378" spans="1:3" ht="13">
      <c r="A378" s="19" t="s">
        <v>787</v>
      </c>
      <c r="B378" s="20" t="s">
        <v>788</v>
      </c>
      <c r="C378" s="13">
        <v>800000</v>
      </c>
    </row>
    <row r="379" spans="1:3" ht="13">
      <c r="A379" s="19" t="s">
        <v>789</v>
      </c>
      <c r="B379" s="20" t="s">
        <v>790</v>
      </c>
      <c r="C379" s="13">
        <v>900000</v>
      </c>
    </row>
    <row r="380" spans="1:3" ht="13">
      <c r="A380" s="19" t="s">
        <v>791</v>
      </c>
      <c r="B380" s="20" t="s">
        <v>792</v>
      </c>
      <c r="C380" s="13">
        <v>800000</v>
      </c>
    </row>
    <row r="381" spans="1:3" ht="13">
      <c r="A381" s="19" t="s">
        <v>793</v>
      </c>
      <c r="B381" s="20" t="s">
        <v>794</v>
      </c>
      <c r="C381" s="13">
        <v>800000</v>
      </c>
    </row>
    <row r="382" spans="1:3" ht="13">
      <c r="A382" s="19" t="s">
        <v>795</v>
      </c>
      <c r="B382" s="20" t="s">
        <v>796</v>
      </c>
      <c r="C382" s="13">
        <v>800000</v>
      </c>
    </row>
    <row r="383" spans="1:3" ht="13">
      <c r="A383" s="19" t="s">
        <v>797</v>
      </c>
      <c r="B383" s="20" t="s">
        <v>798</v>
      </c>
      <c r="C383" s="13">
        <v>900000</v>
      </c>
    </row>
    <row r="384" spans="1:3" ht="14">
      <c r="A384" s="19" t="s">
        <v>799</v>
      </c>
      <c r="B384" s="31" t="s">
        <v>800</v>
      </c>
      <c r="C384" s="13">
        <v>800000</v>
      </c>
    </row>
    <row r="385" spans="1:4" ht="14">
      <c r="A385" s="19" t="s">
        <v>801</v>
      </c>
      <c r="B385" s="32" t="s">
        <v>802</v>
      </c>
      <c r="C385" s="13">
        <v>900000</v>
      </c>
    </row>
    <row r="386" spans="1:4" ht="14">
      <c r="A386" s="19" t="s">
        <v>803</v>
      </c>
      <c r="B386" s="32" t="s">
        <v>804</v>
      </c>
      <c r="C386" s="13">
        <v>900000</v>
      </c>
    </row>
    <row r="387" spans="1:4" ht="13">
      <c r="A387" s="19"/>
      <c r="B387" s="20"/>
      <c r="C387" s="13"/>
    </row>
    <row r="388" spans="1:4" ht="13">
      <c r="A388" s="19" t="s">
        <v>805</v>
      </c>
      <c r="B388" s="20" t="s">
        <v>806</v>
      </c>
      <c r="C388" s="13">
        <v>900000</v>
      </c>
    </row>
    <row r="389" spans="1:4" ht="13">
      <c r="A389" s="19" t="s">
        <v>807</v>
      </c>
      <c r="B389" s="20" t="s">
        <v>808</v>
      </c>
      <c r="C389" s="13">
        <v>900000</v>
      </c>
    </row>
    <row r="390" spans="1:4" ht="13">
      <c r="A390" s="19" t="s">
        <v>809</v>
      </c>
      <c r="B390" s="20" t="s">
        <v>810</v>
      </c>
      <c r="C390" s="13">
        <v>900000</v>
      </c>
    </row>
    <row r="391" spans="1:4" ht="13">
      <c r="A391" s="19" t="s">
        <v>811</v>
      </c>
      <c r="B391" s="20" t="s">
        <v>812</v>
      </c>
      <c r="C391" s="13">
        <v>900000</v>
      </c>
    </row>
    <row r="392" spans="1:4" ht="13">
      <c r="A392" s="19" t="s">
        <v>813</v>
      </c>
      <c r="B392" s="20" t="s">
        <v>814</v>
      </c>
      <c r="C392" s="13">
        <v>800000</v>
      </c>
      <c r="D392" s="21" t="s">
        <v>394</v>
      </c>
    </row>
    <row r="393" spans="1:4" ht="13">
      <c r="A393" s="19" t="s">
        <v>815</v>
      </c>
      <c r="B393" s="20" t="s">
        <v>816</v>
      </c>
      <c r="C393" s="13">
        <v>800000</v>
      </c>
    </row>
    <row r="394" spans="1:4" ht="13">
      <c r="A394" s="19" t="s">
        <v>817</v>
      </c>
      <c r="B394" s="20" t="s">
        <v>818</v>
      </c>
      <c r="C394" s="13">
        <v>800000</v>
      </c>
    </row>
    <row r="395" spans="1:4" ht="13">
      <c r="A395" s="19" t="s">
        <v>819</v>
      </c>
      <c r="B395" s="20" t="s">
        <v>820</v>
      </c>
      <c r="C395" s="13">
        <v>900000</v>
      </c>
    </row>
    <row r="396" spans="1:4" ht="13">
      <c r="A396" s="19" t="s">
        <v>821</v>
      </c>
      <c r="B396" s="20" t="s">
        <v>822</v>
      </c>
      <c r="C396" s="13">
        <v>800000</v>
      </c>
    </row>
    <row r="397" spans="1:4" ht="13">
      <c r="A397" s="19" t="s">
        <v>823</v>
      </c>
      <c r="B397" s="20" t="s">
        <v>824</v>
      </c>
      <c r="C397" s="13">
        <v>900000</v>
      </c>
    </row>
    <row r="398" spans="1:4" ht="13">
      <c r="A398" s="19" t="s">
        <v>825</v>
      </c>
      <c r="B398" s="20" t="s">
        <v>826</v>
      </c>
      <c r="C398" s="13">
        <v>800000</v>
      </c>
    </row>
    <row r="399" spans="1:4" ht="13">
      <c r="A399" s="19" t="s">
        <v>827</v>
      </c>
      <c r="B399" s="20" t="s">
        <v>828</v>
      </c>
      <c r="C399" s="13">
        <v>900000</v>
      </c>
    </row>
    <row r="400" spans="1:4" ht="13">
      <c r="A400" s="19" t="s">
        <v>829</v>
      </c>
      <c r="B400" s="20" t="s">
        <v>830</v>
      </c>
      <c r="C400" s="13">
        <v>900000</v>
      </c>
    </row>
    <row r="401" spans="1:3" ht="13">
      <c r="A401" s="19" t="s">
        <v>831</v>
      </c>
      <c r="B401" s="20" t="s">
        <v>832</v>
      </c>
      <c r="C401" s="13">
        <v>900000</v>
      </c>
    </row>
    <row r="402" spans="1:3" ht="13">
      <c r="A402" s="19" t="s">
        <v>833</v>
      </c>
      <c r="B402" s="20" t="s">
        <v>834</v>
      </c>
      <c r="C402" s="13">
        <v>700000</v>
      </c>
    </row>
    <row r="403" spans="1:3" ht="13">
      <c r="A403" s="19" t="s">
        <v>835</v>
      </c>
      <c r="B403" s="20" t="s">
        <v>836</v>
      </c>
      <c r="C403" s="13">
        <v>900000</v>
      </c>
    </row>
    <row r="404" spans="1:3" ht="13">
      <c r="A404" s="19" t="s">
        <v>837</v>
      </c>
      <c r="B404" s="20" t="s">
        <v>838</v>
      </c>
      <c r="C404" s="13">
        <v>1200000</v>
      </c>
    </row>
    <row r="405" spans="1:3" ht="13">
      <c r="A405" s="19" t="s">
        <v>360</v>
      </c>
      <c r="B405" s="20" t="s">
        <v>361</v>
      </c>
      <c r="C405" s="13">
        <v>900000</v>
      </c>
    </row>
    <row r="406" spans="1:3" ht="13">
      <c r="A406" s="19"/>
      <c r="B406" s="20"/>
      <c r="C406" s="13"/>
    </row>
    <row r="407" spans="1:3" ht="13">
      <c r="A407" s="19" t="s">
        <v>839</v>
      </c>
      <c r="B407" s="20" t="s">
        <v>840</v>
      </c>
      <c r="C407" s="13">
        <v>900000</v>
      </c>
    </row>
    <row r="408" spans="1:3" ht="13">
      <c r="A408" s="19" t="s">
        <v>841</v>
      </c>
      <c r="B408" s="20" t="s">
        <v>842</v>
      </c>
      <c r="C408" s="13">
        <v>800000</v>
      </c>
    </row>
    <row r="409" spans="1:3" ht="13">
      <c r="A409" s="19" t="s">
        <v>843</v>
      </c>
      <c r="B409" s="20" t="s">
        <v>844</v>
      </c>
      <c r="C409" s="13">
        <v>1000000</v>
      </c>
    </row>
    <row r="410" spans="1:3" ht="13">
      <c r="A410" s="19" t="s">
        <v>845</v>
      </c>
      <c r="B410" s="20" t="s">
        <v>846</v>
      </c>
      <c r="C410" s="13">
        <v>800000</v>
      </c>
    </row>
    <row r="411" spans="1:3" ht="13">
      <c r="A411" s="19" t="s">
        <v>847</v>
      </c>
      <c r="B411" s="20" t="s">
        <v>848</v>
      </c>
      <c r="C411" s="13">
        <v>800000</v>
      </c>
    </row>
    <row r="412" spans="1:3" ht="13">
      <c r="A412" s="19" t="s">
        <v>849</v>
      </c>
      <c r="B412" s="20" t="s">
        <v>850</v>
      </c>
      <c r="C412" s="13">
        <v>1100000</v>
      </c>
    </row>
    <row r="413" spans="1:3" ht="13">
      <c r="A413" s="19" t="s">
        <v>851</v>
      </c>
      <c r="B413" s="20" t="s">
        <v>852</v>
      </c>
      <c r="C413" s="13">
        <v>800000</v>
      </c>
    </row>
    <row r="414" spans="1:3" ht="13">
      <c r="A414" s="19" t="s">
        <v>853</v>
      </c>
      <c r="B414" s="20" t="s">
        <v>854</v>
      </c>
      <c r="C414" s="13">
        <v>800000</v>
      </c>
    </row>
    <row r="415" spans="1:3" ht="13">
      <c r="A415" s="19" t="s">
        <v>855</v>
      </c>
      <c r="B415" s="20" t="s">
        <v>856</v>
      </c>
      <c r="C415" s="13">
        <v>800000</v>
      </c>
    </row>
    <row r="416" spans="1:3" ht="13">
      <c r="A416" s="19" t="s">
        <v>857</v>
      </c>
      <c r="B416" s="20" t="s">
        <v>858</v>
      </c>
      <c r="C416" s="13">
        <v>800000</v>
      </c>
    </row>
    <row r="417" spans="1:4" ht="13">
      <c r="A417" s="19" t="s">
        <v>859</v>
      </c>
      <c r="B417" s="20" t="s">
        <v>860</v>
      </c>
      <c r="C417" s="13">
        <v>800000</v>
      </c>
    </row>
    <row r="418" spans="1:4" ht="13">
      <c r="A418" s="19" t="s">
        <v>861</v>
      </c>
      <c r="B418" s="20" t="s">
        <v>862</v>
      </c>
      <c r="C418" s="13">
        <v>800000</v>
      </c>
    </row>
    <row r="419" spans="1:4" ht="13">
      <c r="A419" s="19" t="s">
        <v>863</v>
      </c>
      <c r="B419" s="20" t="s">
        <v>864</v>
      </c>
      <c r="C419" s="13">
        <v>800000</v>
      </c>
    </row>
    <row r="420" spans="1:4" ht="13">
      <c r="A420" s="19" t="s">
        <v>865</v>
      </c>
      <c r="B420" s="20" t="s">
        <v>866</v>
      </c>
      <c r="C420" s="13">
        <v>800000</v>
      </c>
    </row>
    <row r="421" spans="1:4" ht="13">
      <c r="A421" s="19" t="s">
        <v>867</v>
      </c>
      <c r="B421" s="20" t="s">
        <v>868</v>
      </c>
      <c r="C421" s="13">
        <v>800000</v>
      </c>
    </row>
    <row r="422" spans="1:4" ht="13">
      <c r="A422" s="19" t="s">
        <v>869</v>
      </c>
      <c r="B422" s="20" t="s">
        <v>870</v>
      </c>
      <c r="C422" s="13">
        <v>800000</v>
      </c>
    </row>
    <row r="423" spans="1:4" ht="13">
      <c r="A423" s="19" t="s">
        <v>871</v>
      </c>
      <c r="B423" s="20" t="s">
        <v>872</v>
      </c>
      <c r="C423" s="13">
        <v>500000</v>
      </c>
    </row>
    <row r="424" spans="1:4" ht="13">
      <c r="A424" s="19" t="s">
        <v>873</v>
      </c>
      <c r="B424" s="20" t="s">
        <v>874</v>
      </c>
      <c r="C424" s="13">
        <v>800000</v>
      </c>
    </row>
    <row r="425" spans="1:4" ht="13">
      <c r="A425" s="33" t="s">
        <v>875</v>
      </c>
      <c r="B425" s="33" t="s">
        <v>876</v>
      </c>
      <c r="C425" s="33">
        <v>1000000</v>
      </c>
    </row>
    <row r="426" spans="1:4" ht="13">
      <c r="A426" s="21">
        <v>2</v>
      </c>
      <c r="B426" s="21" t="s">
        <v>877</v>
      </c>
      <c r="C426" s="21">
        <v>900000</v>
      </c>
    </row>
    <row r="427" spans="1:4" ht="13">
      <c r="A427" s="21" t="s">
        <v>878</v>
      </c>
      <c r="B427" s="21" t="s">
        <v>879</v>
      </c>
      <c r="C427" s="21">
        <v>500000</v>
      </c>
    </row>
    <row r="428" spans="1:4" ht="13">
      <c r="A428" s="21" t="s">
        <v>880</v>
      </c>
      <c r="B428" s="21" t="s">
        <v>881</v>
      </c>
      <c r="C428" s="21">
        <v>900000</v>
      </c>
    </row>
    <row r="429" spans="1:4" ht="13">
      <c r="A429" s="21" t="s">
        <v>882</v>
      </c>
      <c r="B429" s="21" t="s">
        <v>883</v>
      </c>
      <c r="C429" s="21">
        <v>800000</v>
      </c>
    </row>
    <row r="430" spans="1:4" ht="13">
      <c r="A430" s="19" t="s">
        <v>841</v>
      </c>
      <c r="B430" s="20" t="s">
        <v>884</v>
      </c>
      <c r="C430" s="13">
        <v>800000</v>
      </c>
      <c r="D430" s="21"/>
    </row>
    <row r="431" spans="1:4" ht="13">
      <c r="A431" s="21" t="s">
        <v>885</v>
      </c>
      <c r="B431" s="21" t="s">
        <v>886</v>
      </c>
      <c r="C431" s="21">
        <v>600000</v>
      </c>
      <c r="D431" s="21"/>
    </row>
    <row r="432" spans="1:4" ht="13">
      <c r="A432" s="21" t="s">
        <v>887</v>
      </c>
      <c r="B432" s="21" t="s">
        <v>888</v>
      </c>
      <c r="C432" s="21">
        <v>900000</v>
      </c>
      <c r="D432" s="21"/>
    </row>
    <row r="433" spans="1:4" ht="13">
      <c r="A433" s="21" t="s">
        <v>889</v>
      </c>
      <c r="B433" s="21" t="s">
        <v>890</v>
      </c>
      <c r="C433" s="21">
        <v>800000</v>
      </c>
      <c r="D433" s="21"/>
    </row>
    <row r="434" spans="1:4" ht="13">
      <c r="A434" s="21" t="s">
        <v>891</v>
      </c>
      <c r="B434" s="21" t="s">
        <v>892</v>
      </c>
      <c r="C434" s="21">
        <v>800000</v>
      </c>
      <c r="D434" s="21"/>
    </row>
    <row r="435" spans="1:4" ht="13">
      <c r="A435" s="21" t="s">
        <v>893</v>
      </c>
      <c r="B435" s="21" t="s">
        <v>894</v>
      </c>
      <c r="C435" s="21">
        <v>800000</v>
      </c>
      <c r="D435" s="21"/>
    </row>
    <row r="436" spans="1:4" ht="13">
      <c r="A436" s="21" t="s">
        <v>895</v>
      </c>
      <c r="B436" s="21" t="s">
        <v>896</v>
      </c>
      <c r="C436" s="21">
        <v>900000</v>
      </c>
      <c r="D436" s="21"/>
    </row>
    <row r="437" spans="1:4" ht="13">
      <c r="A437" s="21" t="s">
        <v>897</v>
      </c>
      <c r="B437" s="21" t="s">
        <v>898</v>
      </c>
      <c r="C437" s="21">
        <v>900000</v>
      </c>
      <c r="D437" s="21"/>
    </row>
    <row r="438" spans="1:4" ht="13">
      <c r="A438" s="21" t="s">
        <v>899</v>
      </c>
      <c r="B438" s="21" t="s">
        <v>900</v>
      </c>
      <c r="C438" s="21">
        <v>1100000</v>
      </c>
      <c r="D438" s="21"/>
    </row>
    <row r="439" spans="1:4" ht="13">
      <c r="A439" s="21" t="s">
        <v>901</v>
      </c>
      <c r="B439" s="21" t="s">
        <v>902</v>
      </c>
      <c r="C439" s="21">
        <v>900000</v>
      </c>
      <c r="D439" s="21"/>
    </row>
    <row r="440" spans="1:4" ht="13">
      <c r="A440" s="21" t="s">
        <v>903</v>
      </c>
      <c r="B440" s="21" t="s">
        <v>904</v>
      </c>
      <c r="C440" s="21">
        <v>500000</v>
      </c>
      <c r="D440" s="21"/>
    </row>
    <row r="441" spans="1:4" ht="13">
      <c r="A441" s="21" t="s">
        <v>905</v>
      </c>
      <c r="B441" s="21" t="s">
        <v>906</v>
      </c>
      <c r="C441" s="21">
        <v>800000</v>
      </c>
      <c r="D441" s="21"/>
    </row>
    <row r="442" spans="1:4" ht="13">
      <c r="A442" s="21"/>
      <c r="B442" s="21"/>
      <c r="C442" s="21"/>
      <c r="D442" s="21"/>
    </row>
    <row r="443" spans="1:4" ht="13">
      <c r="A443" s="21" t="s">
        <v>907</v>
      </c>
      <c r="B443" s="21" t="s">
        <v>908</v>
      </c>
      <c r="C443" s="21">
        <v>900000</v>
      </c>
      <c r="D443" s="21" t="s">
        <v>394</v>
      </c>
    </row>
    <row r="448" spans="1:4" ht="13">
      <c r="A448" s="34"/>
      <c r="B448" s="35"/>
      <c r="C448" s="29"/>
    </row>
    <row r="449" spans="1:3" ht="13">
      <c r="A449" s="34"/>
      <c r="B449" s="35"/>
      <c r="C449" s="29"/>
    </row>
    <row r="450" spans="1:3" ht="13">
      <c r="A450" s="34" t="s">
        <v>909</v>
      </c>
      <c r="B450" s="35" t="s">
        <v>910</v>
      </c>
      <c r="C450" s="29">
        <v>1000000</v>
      </c>
    </row>
    <row r="451" spans="1:3" ht="13">
      <c r="A451" s="34"/>
      <c r="B451" s="35"/>
      <c r="C451" s="29"/>
    </row>
    <row r="452" spans="1:3" ht="13">
      <c r="A452" s="19"/>
      <c r="B452" s="20"/>
      <c r="C452" s="13"/>
    </row>
    <row r="453" spans="1:3" ht="13">
      <c r="A453" s="19" t="s">
        <v>911</v>
      </c>
      <c r="B453" s="20" t="s">
        <v>912</v>
      </c>
      <c r="C453" s="13">
        <v>800000</v>
      </c>
    </row>
    <row r="454" spans="1:3" ht="13">
      <c r="A454" s="19" t="s">
        <v>913</v>
      </c>
      <c r="B454" s="20" t="s">
        <v>914</v>
      </c>
      <c r="C454" s="13">
        <v>800000</v>
      </c>
    </row>
    <row r="455" spans="1:3" ht="13">
      <c r="A455" s="19" t="s">
        <v>915</v>
      </c>
      <c r="B455" s="20" t="s">
        <v>916</v>
      </c>
      <c r="C455" s="13">
        <v>800000</v>
      </c>
    </row>
    <row r="456" spans="1:3" ht="13">
      <c r="A456" s="19" t="s">
        <v>917</v>
      </c>
      <c r="B456" s="20" t="s">
        <v>918</v>
      </c>
      <c r="C456" s="13">
        <v>900000</v>
      </c>
    </row>
    <row r="457" spans="1:3" ht="13">
      <c r="A457" s="19" t="s">
        <v>919</v>
      </c>
      <c r="B457" s="20" t="s">
        <v>920</v>
      </c>
      <c r="C457" s="13">
        <v>800000</v>
      </c>
    </row>
    <row r="458" spans="1:3" ht="13">
      <c r="A458" s="19" t="s">
        <v>921</v>
      </c>
      <c r="B458" s="20" t="s">
        <v>922</v>
      </c>
      <c r="C458" s="13">
        <v>900000</v>
      </c>
    </row>
    <row r="459" spans="1:3" ht="13">
      <c r="A459" s="19" t="s">
        <v>923</v>
      </c>
      <c r="B459" s="20" t="s">
        <v>924</v>
      </c>
      <c r="C459" s="13">
        <v>800000</v>
      </c>
    </row>
    <row r="460" spans="1:3" ht="13">
      <c r="A460" s="19"/>
      <c r="B460" s="20"/>
      <c r="C460" s="13"/>
    </row>
    <row r="461" spans="1:3" ht="13">
      <c r="A461" s="19" t="s">
        <v>925</v>
      </c>
      <c r="B461" s="20" t="s">
        <v>926</v>
      </c>
      <c r="C461" s="13">
        <v>800000</v>
      </c>
    </row>
    <row r="462" spans="1:3" ht="13">
      <c r="A462" s="19"/>
      <c r="B462" s="20"/>
      <c r="C462" s="13"/>
    </row>
    <row r="463" spans="1:3" ht="13">
      <c r="A463" s="19" t="s">
        <v>927</v>
      </c>
      <c r="B463" s="20" t="s">
        <v>928</v>
      </c>
      <c r="C463" s="13">
        <v>800000</v>
      </c>
    </row>
    <row r="464" spans="1:3" ht="13">
      <c r="A464" s="19" t="s">
        <v>929</v>
      </c>
      <c r="B464" s="20" t="s">
        <v>930</v>
      </c>
      <c r="C464" s="13">
        <v>900000</v>
      </c>
    </row>
    <row r="465" spans="1:3" ht="13">
      <c r="A465" s="19" t="s">
        <v>931</v>
      </c>
      <c r="B465" s="20" t="s">
        <v>932</v>
      </c>
      <c r="C465" s="13">
        <v>900000</v>
      </c>
    </row>
    <row r="466" spans="1:3" ht="13">
      <c r="A466" s="36" t="s">
        <v>933</v>
      </c>
      <c r="B466" s="37" t="s">
        <v>934</v>
      </c>
      <c r="C466" s="13">
        <v>800000</v>
      </c>
    </row>
    <row r="467" spans="1:3" ht="13">
      <c r="A467" s="36" t="s">
        <v>935</v>
      </c>
      <c r="B467" s="37" t="s">
        <v>936</v>
      </c>
      <c r="C467" s="13">
        <v>800000</v>
      </c>
    </row>
    <row r="468" spans="1:3" ht="13">
      <c r="A468" s="36" t="s">
        <v>777</v>
      </c>
      <c r="B468" s="37" t="s">
        <v>937</v>
      </c>
      <c r="C468" s="13">
        <v>800000</v>
      </c>
    </row>
    <row r="469" spans="1:3" ht="13">
      <c r="A469" s="36" t="s">
        <v>938</v>
      </c>
      <c r="B469" s="37" t="s">
        <v>939</v>
      </c>
      <c r="C469" s="13">
        <v>800000</v>
      </c>
    </row>
    <row r="470" spans="1:3" ht="13">
      <c r="A470" s="36" t="s">
        <v>940</v>
      </c>
      <c r="B470" s="37" t="s">
        <v>941</v>
      </c>
      <c r="C470" s="13">
        <v>900000</v>
      </c>
    </row>
    <row r="471" spans="1:3" ht="13">
      <c r="A471" s="36" t="s">
        <v>942</v>
      </c>
      <c r="B471" s="37" t="s">
        <v>943</v>
      </c>
      <c r="C471" s="13">
        <v>900000</v>
      </c>
    </row>
    <row r="472" spans="1:3" ht="13">
      <c r="A472" s="11"/>
      <c r="B472" s="12"/>
      <c r="C472" s="13"/>
    </row>
    <row r="473" spans="1:3" ht="13">
      <c r="A473" s="11" t="s">
        <v>944</v>
      </c>
      <c r="B473" s="12" t="s">
        <v>945</v>
      </c>
      <c r="C473" s="13">
        <v>800000</v>
      </c>
    </row>
    <row r="474" spans="1:3" ht="13">
      <c r="A474" s="11" t="s">
        <v>946</v>
      </c>
      <c r="B474" s="12" t="s">
        <v>947</v>
      </c>
      <c r="C474" s="13">
        <v>900000</v>
      </c>
    </row>
    <row r="475" spans="1:3" ht="13">
      <c r="A475" s="11" t="s">
        <v>164</v>
      </c>
      <c r="B475" s="12" t="s">
        <v>948</v>
      </c>
      <c r="C475" s="13">
        <v>800000</v>
      </c>
    </row>
    <row r="476" spans="1:3" ht="13">
      <c r="A476" s="11" t="s">
        <v>949</v>
      </c>
      <c r="B476" s="12" t="s">
        <v>950</v>
      </c>
      <c r="C476" s="13">
        <v>800000</v>
      </c>
    </row>
    <row r="477" spans="1:3" ht="13">
      <c r="A477" s="11" t="s">
        <v>951</v>
      </c>
      <c r="B477" s="12" t="s">
        <v>952</v>
      </c>
      <c r="C477" s="13">
        <v>800000</v>
      </c>
    </row>
    <row r="478" spans="1:3" ht="13">
      <c r="A478" s="11" t="s">
        <v>953</v>
      </c>
      <c r="B478" s="12" t="s">
        <v>954</v>
      </c>
      <c r="C478" s="13">
        <v>800000</v>
      </c>
    </row>
    <row r="479" spans="1:3" ht="13">
      <c r="A479" s="38" t="s">
        <v>955</v>
      </c>
      <c r="B479" s="39" t="s">
        <v>956</v>
      </c>
      <c r="C479" s="13">
        <v>800000</v>
      </c>
    </row>
    <row r="480" spans="1:3" ht="13">
      <c r="A480" s="38" t="s">
        <v>957</v>
      </c>
      <c r="B480" s="39" t="s">
        <v>958</v>
      </c>
      <c r="C480" s="13">
        <v>800000</v>
      </c>
    </row>
    <row r="481" spans="1:26" ht="13">
      <c r="A481" s="38" t="s">
        <v>959</v>
      </c>
      <c r="B481" s="39" t="s">
        <v>960</v>
      </c>
      <c r="C481" s="13">
        <v>800000</v>
      </c>
    </row>
    <row r="482" spans="1:26" ht="13">
      <c r="A482" s="38" t="s">
        <v>961</v>
      </c>
      <c r="B482" s="39" t="s">
        <v>962</v>
      </c>
      <c r="C482" s="13">
        <v>800000</v>
      </c>
    </row>
    <row r="483" spans="1:26" ht="13">
      <c r="A483" s="38" t="s">
        <v>963</v>
      </c>
      <c r="B483" s="39" t="s">
        <v>964</v>
      </c>
      <c r="C483" s="13">
        <v>900000</v>
      </c>
    </row>
    <row r="484" spans="1:26" ht="13">
      <c r="A484" s="38" t="s">
        <v>965</v>
      </c>
      <c r="B484" s="39" t="s">
        <v>966</v>
      </c>
      <c r="C484" s="13">
        <v>800000</v>
      </c>
    </row>
    <row r="485" spans="1:26" ht="13">
      <c r="A485" s="38" t="s">
        <v>967</v>
      </c>
      <c r="B485" s="39" t="s">
        <v>968</v>
      </c>
      <c r="C485" s="13">
        <v>800000</v>
      </c>
    </row>
    <row r="486" spans="1:26" ht="13">
      <c r="A486" s="40"/>
      <c r="B486" s="41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3">
      <c r="A487" s="44" t="s">
        <v>969</v>
      </c>
      <c r="B487" s="45" t="s">
        <v>970</v>
      </c>
      <c r="C487" s="13">
        <v>900000</v>
      </c>
    </row>
    <row r="488" spans="1:26" ht="13">
      <c r="A488" s="44" t="s">
        <v>971</v>
      </c>
      <c r="B488" s="45" t="s">
        <v>972</v>
      </c>
      <c r="C488" s="13">
        <v>800000</v>
      </c>
    </row>
    <row r="489" spans="1:26" ht="13">
      <c r="A489" s="44" t="s">
        <v>973</v>
      </c>
      <c r="B489" s="45" t="s">
        <v>974</v>
      </c>
      <c r="C489" s="13">
        <v>800000</v>
      </c>
    </row>
    <row r="490" spans="1:26" ht="13">
      <c r="A490" s="44" t="s">
        <v>975</v>
      </c>
      <c r="B490" s="45" t="s">
        <v>976</v>
      </c>
      <c r="C490" s="13">
        <v>800000</v>
      </c>
    </row>
    <row r="491" spans="1:26" ht="13">
      <c r="A491" s="44" t="s">
        <v>977</v>
      </c>
      <c r="B491" s="45" t="s">
        <v>978</v>
      </c>
      <c r="C491" s="13">
        <v>800000</v>
      </c>
    </row>
    <row r="492" spans="1:26" ht="13">
      <c r="A492" s="44" t="s">
        <v>979</v>
      </c>
      <c r="B492" s="45" t="s">
        <v>980</v>
      </c>
      <c r="C492" s="13">
        <v>800000</v>
      </c>
    </row>
    <row r="493" spans="1:26" ht="13">
      <c r="A493" s="44" t="s">
        <v>981</v>
      </c>
      <c r="B493" s="45" t="s">
        <v>982</v>
      </c>
      <c r="C493" s="13">
        <v>800000</v>
      </c>
    </row>
    <row r="494" spans="1:26" ht="13">
      <c r="A494" s="44" t="s">
        <v>983</v>
      </c>
      <c r="B494" s="45" t="s">
        <v>984</v>
      </c>
      <c r="C494" s="13">
        <v>800000</v>
      </c>
    </row>
    <row r="495" spans="1:26" ht="13">
      <c r="A495" s="44" t="s">
        <v>985</v>
      </c>
      <c r="B495" s="45" t="s">
        <v>986</v>
      </c>
      <c r="C495" s="13">
        <v>800000</v>
      </c>
    </row>
    <row r="496" spans="1:26" ht="13">
      <c r="A496" s="44" t="s">
        <v>987</v>
      </c>
      <c r="B496" s="45" t="s">
        <v>988</v>
      </c>
      <c r="C496" s="13">
        <v>800000</v>
      </c>
    </row>
    <row r="497" spans="1:3" ht="13">
      <c r="A497" s="44" t="s">
        <v>989</v>
      </c>
      <c r="B497" s="45" t="s">
        <v>990</v>
      </c>
      <c r="C497" s="13">
        <v>800000</v>
      </c>
    </row>
    <row r="498" spans="1:3" ht="13">
      <c r="A498" s="44" t="s">
        <v>991</v>
      </c>
      <c r="B498" s="45" t="s">
        <v>992</v>
      </c>
      <c r="C498" s="13">
        <v>800000</v>
      </c>
    </row>
    <row r="499" spans="1:3" ht="13">
      <c r="A499" s="46" t="s">
        <v>993</v>
      </c>
      <c r="B499" s="47" t="s">
        <v>994</v>
      </c>
      <c r="C499" s="13">
        <v>800000</v>
      </c>
    </row>
    <row r="500" spans="1:3" ht="13">
      <c r="A500" s="46" t="s">
        <v>995</v>
      </c>
      <c r="B500" s="47" t="s">
        <v>996</v>
      </c>
      <c r="C500" s="13">
        <v>800000</v>
      </c>
    </row>
    <row r="501" spans="1:3" ht="13">
      <c r="A501" s="46" t="s">
        <v>997</v>
      </c>
      <c r="B501" s="47" t="s">
        <v>998</v>
      </c>
      <c r="C501" s="13">
        <v>800000</v>
      </c>
    </row>
    <row r="502" spans="1:3" ht="13">
      <c r="A502" s="46" t="s">
        <v>999</v>
      </c>
      <c r="B502" s="47" t="s">
        <v>1000</v>
      </c>
      <c r="C502" s="13">
        <v>800000</v>
      </c>
    </row>
    <row r="503" spans="1:3" ht="13">
      <c r="A503" s="46" t="s">
        <v>1001</v>
      </c>
      <c r="B503" s="47" t="s">
        <v>1002</v>
      </c>
      <c r="C503" s="13">
        <v>800000</v>
      </c>
    </row>
    <row r="504" spans="1:3" ht="13">
      <c r="A504" s="46" t="s">
        <v>1003</v>
      </c>
      <c r="B504" s="47" t="s">
        <v>1004</v>
      </c>
      <c r="C504" s="13">
        <v>800000</v>
      </c>
    </row>
    <row r="505" spans="1:3" ht="13">
      <c r="A505" s="46" t="s">
        <v>1005</v>
      </c>
      <c r="B505" s="47" t="s">
        <v>1006</v>
      </c>
      <c r="C505" s="13">
        <v>800000</v>
      </c>
    </row>
    <row r="506" spans="1:3" ht="13">
      <c r="A506" s="46" t="s">
        <v>1007</v>
      </c>
      <c r="B506" s="47" t="s">
        <v>1008</v>
      </c>
      <c r="C506" s="13">
        <v>800000</v>
      </c>
    </row>
    <row r="507" spans="1:3" ht="13">
      <c r="A507" s="46" t="s">
        <v>1009</v>
      </c>
      <c r="B507" s="47" t="s">
        <v>1010</v>
      </c>
      <c r="C507" s="13">
        <v>800000</v>
      </c>
    </row>
    <row r="508" spans="1:3" ht="13">
      <c r="A508" s="46" t="s">
        <v>1011</v>
      </c>
      <c r="B508" s="47" t="s">
        <v>1012</v>
      </c>
      <c r="C508" s="13">
        <v>800000</v>
      </c>
    </row>
    <row r="509" spans="1:3" ht="13">
      <c r="A509" s="46" t="s">
        <v>1013</v>
      </c>
      <c r="B509" s="47" t="s">
        <v>1014</v>
      </c>
      <c r="C509" s="13">
        <v>800000</v>
      </c>
    </row>
    <row r="510" spans="1:3" ht="13">
      <c r="A510" s="46" t="s">
        <v>1015</v>
      </c>
      <c r="B510" s="47" t="s">
        <v>1016</v>
      </c>
      <c r="C510" s="13">
        <v>800000</v>
      </c>
    </row>
    <row r="511" spans="1:3" ht="13">
      <c r="A511" s="46" t="s">
        <v>1017</v>
      </c>
      <c r="B511" s="47" t="s">
        <v>1018</v>
      </c>
      <c r="C511" s="13">
        <v>800000</v>
      </c>
    </row>
    <row r="512" spans="1:3" ht="13">
      <c r="A512" s="46" t="s">
        <v>1019</v>
      </c>
      <c r="B512" s="47" t="s">
        <v>1020</v>
      </c>
      <c r="C512" s="13">
        <v>800000</v>
      </c>
    </row>
    <row r="513" spans="1:3" ht="13">
      <c r="A513" s="46" t="s">
        <v>1021</v>
      </c>
      <c r="B513" s="47" t="s">
        <v>1022</v>
      </c>
      <c r="C513" s="13">
        <v>800000</v>
      </c>
    </row>
    <row r="514" spans="1:3" ht="13">
      <c r="A514" s="46" t="s">
        <v>1023</v>
      </c>
      <c r="B514" s="47" t="s">
        <v>1024</v>
      </c>
      <c r="C514" s="13">
        <v>800000</v>
      </c>
    </row>
    <row r="515" spans="1:3" ht="13">
      <c r="A515" s="46" t="s">
        <v>1025</v>
      </c>
      <c r="B515" s="47" t="s">
        <v>1026</v>
      </c>
      <c r="C515" s="13">
        <v>800000</v>
      </c>
    </row>
    <row r="516" spans="1:3" ht="13">
      <c r="A516" s="46" t="s">
        <v>1027</v>
      </c>
      <c r="B516" s="47" t="s">
        <v>1028</v>
      </c>
      <c r="C516" s="13">
        <v>800000</v>
      </c>
    </row>
    <row r="517" spans="1:3" ht="13">
      <c r="A517" s="46" t="s">
        <v>1029</v>
      </c>
      <c r="B517" s="47" t="s">
        <v>1030</v>
      </c>
      <c r="C517" s="13">
        <v>800000</v>
      </c>
    </row>
    <row r="518" spans="1:3" ht="13">
      <c r="A518" s="46" t="s">
        <v>1031</v>
      </c>
      <c r="B518" s="47" t="s">
        <v>1032</v>
      </c>
      <c r="C518" s="13">
        <v>800000</v>
      </c>
    </row>
    <row r="519" spans="1:3" ht="13">
      <c r="A519" s="46" t="s">
        <v>1033</v>
      </c>
      <c r="B519" s="47" t="s">
        <v>1034</v>
      </c>
      <c r="C519" s="13">
        <v>800000</v>
      </c>
    </row>
    <row r="520" spans="1:3" ht="13">
      <c r="A520" s="46" t="s">
        <v>1035</v>
      </c>
      <c r="B520" s="47" t="s">
        <v>1036</v>
      </c>
      <c r="C520" s="13">
        <v>800000</v>
      </c>
    </row>
    <row r="521" spans="1:3" ht="13">
      <c r="A521" s="46" t="s">
        <v>1037</v>
      </c>
      <c r="B521" s="47" t="s">
        <v>1038</v>
      </c>
      <c r="C521" s="13">
        <v>800000</v>
      </c>
    </row>
    <row r="522" spans="1:3" ht="13">
      <c r="A522" s="46" t="s">
        <v>1039</v>
      </c>
      <c r="B522" s="47" t="s">
        <v>1040</v>
      </c>
      <c r="C522" s="13">
        <v>800000</v>
      </c>
    </row>
    <row r="523" spans="1:3" ht="13">
      <c r="A523" s="46" t="s">
        <v>1041</v>
      </c>
      <c r="B523" s="47" t="s">
        <v>1042</v>
      </c>
      <c r="C523" s="13">
        <v>800000</v>
      </c>
    </row>
    <row r="524" spans="1:3" ht="13">
      <c r="A524" s="46" t="s">
        <v>1043</v>
      </c>
      <c r="B524" s="47" t="s">
        <v>1044</v>
      </c>
      <c r="C524" s="13">
        <v>800000</v>
      </c>
    </row>
    <row r="525" spans="1:3" ht="13">
      <c r="A525" s="46" t="s">
        <v>1045</v>
      </c>
      <c r="B525" s="47" t="s">
        <v>1046</v>
      </c>
      <c r="C525" s="13">
        <v>800000</v>
      </c>
    </row>
    <row r="526" spans="1:3" ht="13">
      <c r="A526" s="46" t="s">
        <v>1047</v>
      </c>
      <c r="B526" s="47" t="s">
        <v>1048</v>
      </c>
      <c r="C526" s="13">
        <v>800000</v>
      </c>
    </row>
    <row r="527" spans="1:3" ht="13">
      <c r="A527" s="46" t="s">
        <v>1049</v>
      </c>
      <c r="B527" s="47" t="s">
        <v>1050</v>
      </c>
      <c r="C527" s="13">
        <v>900000</v>
      </c>
    </row>
    <row r="528" spans="1:3" ht="13">
      <c r="A528" s="46" t="s">
        <v>1051</v>
      </c>
      <c r="B528" s="47" t="s">
        <v>1052</v>
      </c>
      <c r="C528" s="13">
        <v>900000</v>
      </c>
    </row>
    <row r="529" spans="1:3" ht="13">
      <c r="A529" s="46" t="s">
        <v>1053</v>
      </c>
      <c r="B529" s="47" t="s">
        <v>1054</v>
      </c>
      <c r="C529" s="13">
        <v>800000</v>
      </c>
    </row>
    <row r="530" spans="1:3" ht="13">
      <c r="A530" s="48" t="s">
        <v>1055</v>
      </c>
      <c r="B530" s="49" t="s">
        <v>1056</v>
      </c>
      <c r="C530" s="13">
        <v>800000</v>
      </c>
    </row>
    <row r="531" spans="1:3" ht="13">
      <c r="A531" s="48" t="s">
        <v>1057</v>
      </c>
      <c r="B531" s="49" t="s">
        <v>1058</v>
      </c>
      <c r="C531" s="13">
        <v>800000</v>
      </c>
    </row>
    <row r="532" spans="1:3" ht="13">
      <c r="A532" s="48"/>
      <c r="B532" s="49"/>
      <c r="C532" s="13"/>
    </row>
    <row r="533" spans="1:3" ht="13">
      <c r="A533" s="48" t="s">
        <v>1059</v>
      </c>
      <c r="B533" s="49" t="s">
        <v>1060</v>
      </c>
      <c r="C533" s="13">
        <v>800000</v>
      </c>
    </row>
    <row r="534" spans="1:3" ht="13">
      <c r="A534" s="48" t="s">
        <v>1061</v>
      </c>
      <c r="B534" s="49" t="s">
        <v>1062</v>
      </c>
      <c r="C534" s="13">
        <v>800000</v>
      </c>
    </row>
    <row r="535" spans="1:3" ht="13">
      <c r="A535" s="48" t="s">
        <v>1063</v>
      </c>
      <c r="B535" s="49" t="s">
        <v>1064</v>
      </c>
      <c r="C535" s="13">
        <v>800000</v>
      </c>
    </row>
    <row r="536" spans="1:3" ht="13">
      <c r="A536" s="48" t="s">
        <v>1065</v>
      </c>
      <c r="B536" s="49" t="s">
        <v>1066</v>
      </c>
      <c r="C536" s="13">
        <v>800000</v>
      </c>
    </row>
    <row r="537" spans="1:3" ht="13">
      <c r="A537" s="48" t="s">
        <v>1067</v>
      </c>
      <c r="B537" s="49" t="s">
        <v>1068</v>
      </c>
      <c r="C537" s="13">
        <v>800000</v>
      </c>
    </row>
    <row r="538" spans="1:3" ht="13">
      <c r="A538" s="48" t="s">
        <v>1069</v>
      </c>
      <c r="B538" s="49" t="s">
        <v>1070</v>
      </c>
      <c r="C538" s="13">
        <v>800000</v>
      </c>
    </row>
    <row r="539" spans="1:3" ht="13">
      <c r="A539" s="48" t="s">
        <v>1071</v>
      </c>
      <c r="B539" s="49" t="s">
        <v>1072</v>
      </c>
      <c r="C539" s="13">
        <v>900000</v>
      </c>
    </row>
    <row r="540" spans="1:3" ht="13">
      <c r="A540" s="48" t="s">
        <v>1073</v>
      </c>
      <c r="B540" s="49" t="s">
        <v>1074</v>
      </c>
      <c r="C540" s="13">
        <v>900000</v>
      </c>
    </row>
    <row r="541" spans="1:3" ht="13">
      <c r="A541" s="48" t="s">
        <v>1075</v>
      </c>
      <c r="B541" s="49" t="s">
        <v>1076</v>
      </c>
      <c r="C541" s="13">
        <v>800000</v>
      </c>
    </row>
    <row r="542" spans="1:3" ht="13">
      <c r="A542" s="48" t="s">
        <v>1077</v>
      </c>
      <c r="B542" s="49" t="s">
        <v>1078</v>
      </c>
      <c r="C542" s="13">
        <v>800000</v>
      </c>
    </row>
    <row r="543" spans="1:3" ht="13">
      <c r="A543" s="48" t="s">
        <v>1079</v>
      </c>
      <c r="B543" s="49" t="s">
        <v>1080</v>
      </c>
      <c r="C543" s="13">
        <v>800000</v>
      </c>
    </row>
    <row r="544" spans="1:3" ht="13">
      <c r="A544" s="48" t="s">
        <v>1081</v>
      </c>
      <c r="B544" s="49" t="s">
        <v>1082</v>
      </c>
      <c r="C544" s="13">
        <v>800000</v>
      </c>
    </row>
    <row r="545" spans="1:3" ht="13">
      <c r="A545" s="48" t="s">
        <v>1083</v>
      </c>
      <c r="B545" s="49" t="s">
        <v>1084</v>
      </c>
      <c r="C545" s="13">
        <v>1000000</v>
      </c>
    </row>
    <row r="546" spans="1:3" ht="13">
      <c r="A546" s="48" t="s">
        <v>1085</v>
      </c>
      <c r="B546" s="49" t="s">
        <v>1086</v>
      </c>
      <c r="C546" s="13">
        <v>900000</v>
      </c>
    </row>
    <row r="547" spans="1:3" ht="13">
      <c r="A547" s="48" t="s">
        <v>1087</v>
      </c>
      <c r="B547" s="49" t="s">
        <v>1088</v>
      </c>
      <c r="C547" s="13">
        <v>800000</v>
      </c>
    </row>
    <row r="548" spans="1:3" ht="13">
      <c r="A548" s="48" t="s">
        <v>1089</v>
      </c>
      <c r="B548" s="49" t="s">
        <v>1090</v>
      </c>
      <c r="C548" s="13">
        <v>1000000</v>
      </c>
    </row>
    <row r="549" spans="1:3" ht="13">
      <c r="A549" s="50" t="s">
        <v>1091</v>
      </c>
      <c r="B549" s="51" t="s">
        <v>1092</v>
      </c>
      <c r="C549" s="13">
        <v>800000</v>
      </c>
    </row>
    <row r="550" spans="1:3" ht="13">
      <c r="A550" s="50" t="s">
        <v>1093</v>
      </c>
      <c r="B550" s="51" t="s">
        <v>1094</v>
      </c>
      <c r="C550" s="13">
        <v>800000</v>
      </c>
    </row>
    <row r="551" spans="1:3" ht="13">
      <c r="A551" s="50" t="s">
        <v>1095</v>
      </c>
      <c r="B551" s="51" t="s">
        <v>1096</v>
      </c>
      <c r="C551" s="13">
        <v>800000</v>
      </c>
    </row>
    <row r="552" spans="1:3" ht="13">
      <c r="A552" s="50" t="s">
        <v>1097</v>
      </c>
      <c r="B552" s="51" t="s">
        <v>1098</v>
      </c>
      <c r="C552" s="13">
        <v>800000</v>
      </c>
    </row>
    <row r="553" spans="1:3" ht="13">
      <c r="A553" s="50" t="s">
        <v>1099</v>
      </c>
      <c r="B553" s="51" t="s">
        <v>1100</v>
      </c>
      <c r="C553" s="13">
        <v>800000</v>
      </c>
    </row>
    <row r="554" spans="1:3" ht="13">
      <c r="A554" s="50" t="s">
        <v>1101</v>
      </c>
      <c r="B554" s="51" t="s">
        <v>1102</v>
      </c>
      <c r="C554" s="13">
        <v>800000</v>
      </c>
    </row>
    <row r="555" spans="1:3" ht="13">
      <c r="A555" s="50" t="s">
        <v>1103</v>
      </c>
      <c r="B555" s="51" t="s">
        <v>1104</v>
      </c>
      <c r="C555" s="13">
        <v>800000</v>
      </c>
    </row>
    <row r="556" spans="1:3" ht="13">
      <c r="A556" s="50" t="s">
        <v>1105</v>
      </c>
      <c r="B556" s="51" t="s">
        <v>1106</v>
      </c>
      <c r="C556" s="13">
        <v>800000</v>
      </c>
    </row>
    <row r="557" spans="1:3" ht="13">
      <c r="A557" s="50" t="s">
        <v>1107</v>
      </c>
      <c r="B557" s="51" t="s">
        <v>1108</v>
      </c>
      <c r="C557" s="13">
        <v>800000</v>
      </c>
    </row>
    <row r="558" spans="1:3" ht="13">
      <c r="A558" s="50" t="s">
        <v>1109</v>
      </c>
      <c r="B558" s="51" t="s">
        <v>1110</v>
      </c>
      <c r="C558" s="13">
        <v>800000</v>
      </c>
    </row>
    <row r="559" spans="1:3" ht="13">
      <c r="A559" s="50" t="s">
        <v>1111</v>
      </c>
      <c r="B559" s="51" t="s">
        <v>1112</v>
      </c>
      <c r="C559" s="13">
        <v>800000</v>
      </c>
    </row>
    <row r="560" spans="1:3" ht="13">
      <c r="A560" s="50" t="s">
        <v>1113</v>
      </c>
      <c r="B560" s="51" t="s">
        <v>1114</v>
      </c>
      <c r="C560" s="13">
        <v>800000</v>
      </c>
    </row>
    <row r="561" spans="1:3" ht="13">
      <c r="A561" s="50" t="s">
        <v>1115</v>
      </c>
      <c r="B561" s="51" t="s">
        <v>1116</v>
      </c>
      <c r="C561" s="13">
        <v>800000</v>
      </c>
    </row>
    <row r="562" spans="1:3" ht="13">
      <c r="A562" s="50" t="s">
        <v>1117</v>
      </c>
      <c r="B562" s="51" t="s">
        <v>1118</v>
      </c>
      <c r="C562" s="13">
        <v>900000</v>
      </c>
    </row>
    <row r="563" spans="1:3" ht="13">
      <c r="A563" s="50" t="s">
        <v>1119</v>
      </c>
      <c r="B563" s="51" t="s">
        <v>1120</v>
      </c>
      <c r="C563" s="13">
        <v>900000</v>
      </c>
    </row>
    <row r="564" spans="1:3" ht="13">
      <c r="A564" s="50" t="s">
        <v>1121</v>
      </c>
      <c r="B564" s="51" t="s">
        <v>1122</v>
      </c>
      <c r="C564" s="13">
        <v>400000</v>
      </c>
    </row>
    <row r="565" spans="1:3" ht="13">
      <c r="A565" s="50" t="s">
        <v>1123</v>
      </c>
      <c r="B565" s="51" t="s">
        <v>1124</v>
      </c>
      <c r="C565" s="13">
        <v>900000</v>
      </c>
    </row>
    <row r="566" spans="1:3" ht="13">
      <c r="A566" s="50" t="s">
        <v>1125</v>
      </c>
      <c r="B566" s="51" t="s">
        <v>1126</v>
      </c>
      <c r="C566" s="13">
        <v>900000</v>
      </c>
    </row>
    <row r="567" spans="1:3" ht="13">
      <c r="A567" s="50" t="s">
        <v>1127</v>
      </c>
      <c r="B567" s="51" t="s">
        <v>1128</v>
      </c>
      <c r="C567" s="13">
        <v>400000</v>
      </c>
    </row>
    <row r="568" spans="1:3" ht="13">
      <c r="A568" s="50" t="s">
        <v>1129</v>
      </c>
      <c r="B568" s="51" t="s">
        <v>1130</v>
      </c>
      <c r="C568" s="13">
        <v>900000</v>
      </c>
    </row>
    <row r="569" spans="1:3" ht="13">
      <c r="A569" s="50" t="s">
        <v>1131</v>
      </c>
      <c r="B569" s="51" t="s">
        <v>1132</v>
      </c>
      <c r="C569" s="13">
        <v>900000</v>
      </c>
    </row>
    <row r="570" spans="1:3" ht="13">
      <c r="A570" s="11" t="s">
        <v>1133</v>
      </c>
      <c r="B570" s="12" t="s">
        <v>1134</v>
      </c>
      <c r="C570" s="13">
        <v>800000</v>
      </c>
    </row>
    <row r="571" spans="1:3" ht="13">
      <c r="A571" s="44" t="s">
        <v>1135</v>
      </c>
      <c r="B571" s="45" t="s">
        <v>1136</v>
      </c>
      <c r="C571" s="13">
        <v>800000</v>
      </c>
    </row>
    <row r="572" spans="1:3" ht="13">
      <c r="A572" s="44" t="s">
        <v>1137</v>
      </c>
      <c r="B572" s="45" t="s">
        <v>1138</v>
      </c>
      <c r="C572" s="13">
        <v>800000</v>
      </c>
    </row>
    <row r="573" spans="1:3" ht="13">
      <c r="A573" s="44" t="s">
        <v>1139</v>
      </c>
      <c r="B573" s="45" t="s">
        <v>1140</v>
      </c>
      <c r="C573" s="13">
        <v>800000</v>
      </c>
    </row>
    <row r="574" spans="1:3" ht="13">
      <c r="A574" s="44" t="s">
        <v>1141</v>
      </c>
      <c r="B574" s="45" t="s">
        <v>1142</v>
      </c>
      <c r="C574" s="13">
        <v>800000</v>
      </c>
    </row>
    <row r="575" spans="1:3" ht="13">
      <c r="A575" s="44" t="s">
        <v>1143</v>
      </c>
      <c r="B575" s="45" t="s">
        <v>1144</v>
      </c>
      <c r="C575" s="13">
        <v>800000</v>
      </c>
    </row>
    <row r="576" spans="1:3" ht="13">
      <c r="A576" s="44" t="s">
        <v>1145</v>
      </c>
      <c r="B576" s="45" t="s">
        <v>1146</v>
      </c>
      <c r="C576" s="13">
        <v>800000</v>
      </c>
    </row>
    <row r="577" spans="1:3" ht="13">
      <c r="A577" s="44" t="s">
        <v>1147</v>
      </c>
      <c r="B577" s="45" t="s">
        <v>1148</v>
      </c>
      <c r="C577" s="13">
        <v>800000</v>
      </c>
    </row>
    <row r="578" spans="1:3" ht="13">
      <c r="A578" s="44" t="s">
        <v>1149</v>
      </c>
      <c r="B578" s="45" t="s">
        <v>1150</v>
      </c>
      <c r="C578" s="13">
        <v>900000</v>
      </c>
    </row>
    <row r="579" spans="1:3" ht="13">
      <c r="A579" s="11" t="s">
        <v>1151</v>
      </c>
      <c r="B579" s="12" t="s">
        <v>1152</v>
      </c>
      <c r="C579" s="13">
        <v>800000</v>
      </c>
    </row>
    <row r="580" spans="1:3" ht="13">
      <c r="A580" s="11" t="s">
        <v>1153</v>
      </c>
      <c r="B580" s="12" t="s">
        <v>1154</v>
      </c>
      <c r="C580" s="13">
        <v>800000</v>
      </c>
    </row>
    <row r="581" spans="1:3" ht="13">
      <c r="A581" s="11" t="s">
        <v>1155</v>
      </c>
      <c r="B581" s="12" t="s">
        <v>1156</v>
      </c>
      <c r="C581" s="13">
        <v>800000</v>
      </c>
    </row>
    <row r="582" spans="1:3" ht="13">
      <c r="A582" s="11" t="s">
        <v>1157</v>
      </c>
      <c r="B582" s="12" t="s">
        <v>1158</v>
      </c>
      <c r="C582" s="13">
        <v>800000</v>
      </c>
    </row>
    <row r="583" spans="1:3" ht="13">
      <c r="A583" s="11" t="s">
        <v>1159</v>
      </c>
      <c r="B583" s="12" t="s">
        <v>1160</v>
      </c>
      <c r="C583" s="13">
        <v>800000</v>
      </c>
    </row>
    <row r="584" spans="1:3" ht="13">
      <c r="A584" s="44" t="s">
        <v>1161</v>
      </c>
      <c r="B584" s="45" t="s">
        <v>1162</v>
      </c>
      <c r="C584" s="13">
        <v>800000</v>
      </c>
    </row>
    <row r="585" spans="1:3" ht="13">
      <c r="A585" s="44" t="s">
        <v>1163</v>
      </c>
      <c r="B585" s="45" t="s">
        <v>1164</v>
      </c>
      <c r="C585" s="13">
        <v>800000</v>
      </c>
    </row>
    <row r="586" spans="1:3" ht="13">
      <c r="A586" s="44" t="s">
        <v>1165</v>
      </c>
      <c r="B586" s="45" t="s">
        <v>1166</v>
      </c>
      <c r="C586" s="13">
        <v>800000</v>
      </c>
    </row>
    <row r="587" spans="1:3" ht="13">
      <c r="A587" s="44" t="s">
        <v>1167</v>
      </c>
      <c r="B587" s="45" t="s">
        <v>1168</v>
      </c>
      <c r="C587" s="13">
        <v>900000</v>
      </c>
    </row>
    <row r="588" spans="1:3" ht="13">
      <c r="A588" s="44" t="s">
        <v>1169</v>
      </c>
      <c r="B588" s="45" t="s">
        <v>1170</v>
      </c>
      <c r="C588" s="13">
        <v>800000</v>
      </c>
    </row>
    <row r="589" spans="1:3" ht="13">
      <c r="A589" s="44" t="s">
        <v>1171</v>
      </c>
      <c r="B589" s="45" t="s">
        <v>1172</v>
      </c>
      <c r="C589" s="13">
        <v>800000</v>
      </c>
    </row>
    <row r="590" spans="1:3" ht="13">
      <c r="A590" s="52" t="s">
        <v>1173</v>
      </c>
      <c r="B590" s="53" t="s">
        <v>1174</v>
      </c>
      <c r="C590" s="29">
        <v>900000</v>
      </c>
    </row>
    <row r="592" spans="1:3" ht="13">
      <c r="A592" s="11" t="s">
        <v>1175</v>
      </c>
      <c r="B592" s="12" t="s">
        <v>1176</v>
      </c>
      <c r="C592" s="13">
        <v>800000</v>
      </c>
    </row>
    <row r="593" spans="1:3" ht="13">
      <c r="A593" s="11" t="s">
        <v>119</v>
      </c>
      <c r="B593" s="12" t="s">
        <v>1177</v>
      </c>
      <c r="C593" s="13">
        <v>800000</v>
      </c>
    </row>
    <row r="594" spans="1:3" ht="13">
      <c r="A594" s="11" t="s">
        <v>1178</v>
      </c>
      <c r="B594" s="12" t="s">
        <v>1179</v>
      </c>
      <c r="C594" s="13">
        <v>800000</v>
      </c>
    </row>
    <row r="595" spans="1:3" ht="13">
      <c r="A595" s="11" t="s">
        <v>1180</v>
      </c>
      <c r="B595" s="12" t="s">
        <v>1181</v>
      </c>
      <c r="C595" s="13">
        <v>800000</v>
      </c>
    </row>
    <row r="596" spans="1:3" ht="13">
      <c r="A596" s="11" t="s">
        <v>1182</v>
      </c>
      <c r="B596" s="12" t="s">
        <v>1183</v>
      </c>
      <c r="C596" s="13">
        <v>800000</v>
      </c>
    </row>
    <row r="597" spans="1:3" ht="13">
      <c r="A597" s="11" t="s">
        <v>1184</v>
      </c>
      <c r="B597" s="12" t="s">
        <v>1185</v>
      </c>
      <c r="C597" s="13">
        <v>800000</v>
      </c>
    </row>
    <row r="598" spans="1:3" ht="13">
      <c r="A598" s="11" t="s">
        <v>1186</v>
      </c>
      <c r="B598" s="12" t="s">
        <v>1187</v>
      </c>
      <c r="C598" s="13">
        <v>800000</v>
      </c>
    </row>
    <row r="599" spans="1:3" ht="13">
      <c r="A599" s="54" t="s">
        <v>1188</v>
      </c>
      <c r="B599" s="55" t="s">
        <v>1189</v>
      </c>
      <c r="C599" s="13">
        <v>800000</v>
      </c>
    </row>
    <row r="600" spans="1:3" ht="13">
      <c r="A600" s="54" t="s">
        <v>1190</v>
      </c>
      <c r="B600" s="55" t="s">
        <v>1191</v>
      </c>
      <c r="C600" s="13">
        <v>800000</v>
      </c>
    </row>
    <row r="601" spans="1:3" ht="13">
      <c r="A601" s="54" t="s">
        <v>1192</v>
      </c>
      <c r="B601" s="55" t="s">
        <v>1193</v>
      </c>
      <c r="C601" s="56">
        <v>900000</v>
      </c>
    </row>
    <row r="602" spans="1:3" ht="13">
      <c r="A602" s="54" t="s">
        <v>1194</v>
      </c>
      <c r="B602" s="55" t="s">
        <v>1195</v>
      </c>
      <c r="C602" s="13">
        <v>800000</v>
      </c>
    </row>
    <row r="603" spans="1:3" ht="13">
      <c r="A603" s="54" t="s">
        <v>1196</v>
      </c>
      <c r="B603" s="55" t="s">
        <v>1197</v>
      </c>
      <c r="C603" s="13">
        <v>800000</v>
      </c>
    </row>
    <row r="604" spans="1:3" ht="13">
      <c r="A604" s="54" t="s">
        <v>1198</v>
      </c>
      <c r="B604" s="55" t="s">
        <v>1199</v>
      </c>
      <c r="C604" s="56">
        <v>900000</v>
      </c>
    </row>
    <row r="605" spans="1:3" ht="13">
      <c r="A605" s="54" t="s">
        <v>1200</v>
      </c>
      <c r="B605" s="57" t="s">
        <v>1201</v>
      </c>
      <c r="C605" s="58">
        <v>800000</v>
      </c>
    </row>
    <row r="606" spans="1:3" ht="13">
      <c r="A606" s="59"/>
      <c r="B606" s="59" t="s">
        <v>1202</v>
      </c>
      <c r="C606" s="58"/>
    </row>
    <row r="607" spans="1:3" ht="13">
      <c r="A607" s="54" t="s">
        <v>1203</v>
      </c>
      <c r="B607" s="55" t="s">
        <v>1204</v>
      </c>
      <c r="C607" s="60">
        <v>950000</v>
      </c>
    </row>
    <row r="608" spans="1:3" ht="13">
      <c r="A608" s="54" t="s">
        <v>1205</v>
      </c>
      <c r="B608" s="55" t="s">
        <v>1206</v>
      </c>
      <c r="C608" s="60">
        <v>1500000</v>
      </c>
    </row>
    <row r="609" spans="1:3" ht="13">
      <c r="A609" s="54" t="s">
        <v>1207</v>
      </c>
      <c r="B609" s="55" t="s">
        <v>1208</v>
      </c>
      <c r="C609" s="60">
        <v>1500000</v>
      </c>
    </row>
    <row r="610" spans="1:3" ht="13">
      <c r="A610" s="54" t="s">
        <v>1209</v>
      </c>
      <c r="B610" s="55" t="s">
        <v>1210</v>
      </c>
      <c r="C610" s="60">
        <v>1400000</v>
      </c>
    </row>
    <row r="611" spans="1:3" ht="13">
      <c r="A611" s="54" t="s">
        <v>1211</v>
      </c>
      <c r="B611" s="55" t="s">
        <v>1212</v>
      </c>
      <c r="C611" s="60">
        <v>1500000</v>
      </c>
    </row>
    <row r="612" spans="1:3" ht="13">
      <c r="A612" s="54" t="s">
        <v>1213</v>
      </c>
      <c r="B612" s="55" t="s">
        <v>1214</v>
      </c>
      <c r="C612" s="60">
        <v>1500000</v>
      </c>
    </row>
    <row r="613" spans="1:3" ht="13">
      <c r="A613" s="54" t="s">
        <v>1215</v>
      </c>
      <c r="B613" s="55" t="s">
        <v>1216</v>
      </c>
      <c r="C613" s="60">
        <v>1500000</v>
      </c>
    </row>
    <row r="614" spans="1:3" ht="13">
      <c r="A614" s="54" t="s">
        <v>1217</v>
      </c>
      <c r="B614" s="55" t="s">
        <v>1218</v>
      </c>
      <c r="C614" s="60">
        <v>1500000</v>
      </c>
    </row>
    <row r="615" spans="1:3" ht="13">
      <c r="A615" s="54" t="s">
        <v>1219</v>
      </c>
      <c r="B615" s="55" t="s">
        <v>1218</v>
      </c>
      <c r="C615" s="60">
        <v>1500000</v>
      </c>
    </row>
    <row r="616" spans="1:3" ht="13">
      <c r="A616" s="54" t="s">
        <v>1220</v>
      </c>
      <c r="B616" s="55" t="s">
        <v>1221</v>
      </c>
      <c r="C616" s="60">
        <v>1500000</v>
      </c>
    </row>
    <row r="617" spans="1:3" ht="13">
      <c r="A617" s="54" t="s">
        <v>1222</v>
      </c>
      <c r="B617" s="55" t="s">
        <v>1218</v>
      </c>
      <c r="C617" s="60">
        <v>1500000</v>
      </c>
    </row>
    <row r="618" spans="1:3" ht="13">
      <c r="A618" s="54" t="s">
        <v>1223</v>
      </c>
      <c r="B618" s="55" t="s">
        <v>1224</v>
      </c>
      <c r="C618" s="60">
        <v>1250000</v>
      </c>
    </row>
    <row r="619" spans="1:3" ht="13">
      <c r="A619" s="54"/>
      <c r="B619" s="55"/>
      <c r="C619" s="61"/>
    </row>
    <row r="620" spans="1:3" ht="13">
      <c r="A620" s="54"/>
      <c r="B620" s="55"/>
      <c r="C620" s="61"/>
    </row>
    <row r="621" spans="1:3" ht="13">
      <c r="A621" s="54" t="s">
        <v>1225</v>
      </c>
      <c r="B621" s="55" t="s">
        <v>1226</v>
      </c>
      <c r="C621" s="60">
        <v>1300000</v>
      </c>
    </row>
    <row r="622" spans="1:3" ht="13">
      <c r="A622" s="54" t="s">
        <v>1227</v>
      </c>
      <c r="B622" s="55" t="s">
        <v>1228</v>
      </c>
      <c r="C622" s="60">
        <v>1300000</v>
      </c>
    </row>
    <row r="623" spans="1:3" ht="13">
      <c r="A623" s="54" t="s">
        <v>1229</v>
      </c>
      <c r="B623" s="55" t="s">
        <v>1230</v>
      </c>
      <c r="C623" s="60">
        <v>1250000</v>
      </c>
    </row>
    <row r="624" spans="1:3" ht="13">
      <c r="A624" s="54" t="s">
        <v>1231</v>
      </c>
      <c r="B624" s="55" t="s">
        <v>1232</v>
      </c>
      <c r="C624" s="60">
        <v>1300000</v>
      </c>
    </row>
    <row r="625" spans="1:3" ht="13">
      <c r="A625" s="54" t="s">
        <v>1233</v>
      </c>
      <c r="B625" s="55" t="s">
        <v>1234</v>
      </c>
      <c r="C625" s="60">
        <v>1250000</v>
      </c>
    </row>
    <row r="626" spans="1:3" ht="13">
      <c r="A626" s="54" t="s">
        <v>1235</v>
      </c>
      <c r="B626" s="55" t="s">
        <v>1236</v>
      </c>
      <c r="C626" s="60">
        <v>1500000</v>
      </c>
    </row>
    <row r="627" spans="1:3" ht="13">
      <c r="A627" s="54" t="s">
        <v>1237</v>
      </c>
      <c r="B627" s="55" t="s">
        <v>1238</v>
      </c>
      <c r="C627" s="60">
        <v>1500000</v>
      </c>
    </row>
    <row r="628" spans="1:3" ht="13">
      <c r="A628" s="54" t="s">
        <v>1239</v>
      </c>
      <c r="B628" s="55" t="s">
        <v>1240</v>
      </c>
      <c r="C628" s="60">
        <v>1400000</v>
      </c>
    </row>
    <row r="629" spans="1:3" ht="13">
      <c r="A629" s="54" t="s">
        <v>1241</v>
      </c>
      <c r="B629" s="55" t="s">
        <v>1242</v>
      </c>
      <c r="C629" s="60">
        <v>1400000</v>
      </c>
    </row>
    <row r="630" spans="1:3" ht="13">
      <c r="A630" s="54" t="s">
        <v>1243</v>
      </c>
      <c r="B630" s="55" t="s">
        <v>1244</v>
      </c>
      <c r="C630" s="60">
        <v>1500000</v>
      </c>
    </row>
    <row r="631" spans="1:3" ht="13">
      <c r="A631" s="54" t="s">
        <v>1245</v>
      </c>
      <c r="B631" s="55" t="s">
        <v>1246</v>
      </c>
      <c r="C631" s="60">
        <v>1500000</v>
      </c>
    </row>
    <row r="632" spans="1:3" ht="13">
      <c r="A632" s="54" t="s">
        <v>1247</v>
      </c>
      <c r="B632" s="55" t="s">
        <v>1248</v>
      </c>
      <c r="C632" s="60">
        <v>1500000</v>
      </c>
    </row>
    <row r="633" spans="1:3" ht="13">
      <c r="A633" s="54" t="s">
        <v>1249</v>
      </c>
      <c r="B633" s="55" t="s">
        <v>1250</v>
      </c>
      <c r="C633" s="60">
        <v>950000</v>
      </c>
    </row>
    <row r="634" spans="1:3" ht="13">
      <c r="A634" s="54" t="s">
        <v>1251</v>
      </c>
      <c r="B634" s="55" t="s">
        <v>1252</v>
      </c>
      <c r="C634" s="60">
        <v>950000</v>
      </c>
    </row>
    <row r="635" spans="1:3" ht="13">
      <c r="A635" s="54" t="s">
        <v>1253</v>
      </c>
      <c r="B635" s="55" t="s">
        <v>1254</v>
      </c>
      <c r="C635" s="60">
        <v>950000</v>
      </c>
    </row>
    <row r="636" spans="1:3" ht="13">
      <c r="A636" s="54" t="s">
        <v>1255</v>
      </c>
      <c r="B636" s="55" t="s">
        <v>1216</v>
      </c>
      <c r="C636" s="60">
        <v>950000</v>
      </c>
    </row>
    <row r="637" spans="1:3" ht="13">
      <c r="A637" s="54"/>
      <c r="B637" s="55"/>
      <c r="C637" s="61"/>
    </row>
    <row r="638" spans="1:3" ht="13">
      <c r="A638" s="54" t="s">
        <v>1256</v>
      </c>
      <c r="B638" s="55" t="s">
        <v>1257</v>
      </c>
      <c r="C638" s="60">
        <v>950000</v>
      </c>
    </row>
    <row r="639" spans="1:3" ht="13">
      <c r="A639" s="54" t="s">
        <v>1258</v>
      </c>
      <c r="B639" s="55" t="s">
        <v>1216</v>
      </c>
      <c r="C639" s="60">
        <v>1000000</v>
      </c>
    </row>
    <row r="640" spans="1:3" ht="13">
      <c r="A640" s="54" t="s">
        <v>1259</v>
      </c>
      <c r="B640" s="55" t="s">
        <v>1260</v>
      </c>
      <c r="C640" s="60">
        <v>1000000</v>
      </c>
    </row>
    <row r="641" spans="1:3" ht="13">
      <c r="A641" s="54" t="s">
        <v>1261</v>
      </c>
      <c r="B641" s="55" t="s">
        <v>1260</v>
      </c>
      <c r="C641" s="60">
        <v>950000</v>
      </c>
    </row>
    <row r="642" spans="1:3" ht="13">
      <c r="A642" s="54" t="s">
        <v>1262</v>
      </c>
      <c r="B642" s="55" t="s">
        <v>1221</v>
      </c>
      <c r="C642" s="60">
        <v>950000</v>
      </c>
    </row>
    <row r="643" spans="1:3" ht="13">
      <c r="A643" s="54" t="s">
        <v>1263</v>
      </c>
      <c r="B643" s="55" t="s">
        <v>1216</v>
      </c>
      <c r="C643" s="60">
        <v>1300000</v>
      </c>
    </row>
    <row r="644" spans="1:3" ht="13">
      <c r="A644" s="54" t="s">
        <v>1264</v>
      </c>
      <c r="B644" s="55" t="s">
        <v>1265</v>
      </c>
      <c r="C644" s="60">
        <v>1300000</v>
      </c>
    </row>
    <row r="645" spans="1:3" ht="13">
      <c r="A645" s="54" t="s">
        <v>1266</v>
      </c>
      <c r="B645" s="55" t="s">
        <v>1265</v>
      </c>
      <c r="C645" s="60">
        <v>1400000</v>
      </c>
    </row>
    <row r="646" spans="1:3" ht="13">
      <c r="A646" s="54" t="s">
        <v>1267</v>
      </c>
      <c r="B646" s="55" t="s">
        <v>1268</v>
      </c>
      <c r="C646" s="60">
        <v>1400000</v>
      </c>
    </row>
    <row r="647" spans="1:3" ht="13">
      <c r="A647" s="54" t="s">
        <v>1269</v>
      </c>
      <c r="B647" s="55" t="s">
        <v>1270</v>
      </c>
      <c r="C647" s="60">
        <v>1100000</v>
      </c>
    </row>
    <row r="648" spans="1:3" ht="13">
      <c r="A648" s="54" t="s">
        <v>1271</v>
      </c>
      <c r="B648" s="55" t="s">
        <v>1221</v>
      </c>
      <c r="C648" s="60">
        <v>1100000</v>
      </c>
    </row>
    <row r="649" spans="1:3" ht="13">
      <c r="A649" s="54" t="s">
        <v>1272</v>
      </c>
      <c r="B649" s="55" t="s">
        <v>1273</v>
      </c>
      <c r="C649" s="60">
        <v>1200000</v>
      </c>
    </row>
    <row r="650" spans="1:3" ht="13">
      <c r="A650" s="54" t="s">
        <v>1274</v>
      </c>
      <c r="B650" s="55" t="s">
        <v>1275</v>
      </c>
      <c r="C650" s="60">
        <v>1250000</v>
      </c>
    </row>
    <row r="651" spans="1:3" ht="13">
      <c r="A651" s="54" t="s">
        <v>1276</v>
      </c>
      <c r="B651" s="57" t="s">
        <v>1277</v>
      </c>
      <c r="C651" s="60">
        <v>1250000</v>
      </c>
    </row>
    <row r="652" spans="1:3" ht="13">
      <c r="A652" s="54"/>
      <c r="B652" s="55"/>
      <c r="C652" s="61"/>
    </row>
    <row r="653" spans="1:3" ht="13">
      <c r="A653" s="54" t="s">
        <v>1278</v>
      </c>
      <c r="B653" s="55" t="s">
        <v>1279</v>
      </c>
      <c r="C653" s="60">
        <v>1200000</v>
      </c>
    </row>
    <row r="654" spans="1:3" ht="13">
      <c r="A654" s="54"/>
      <c r="B654" s="55"/>
      <c r="C654" s="61"/>
    </row>
    <row r="655" spans="1:3" ht="13">
      <c r="A655" s="54" t="s">
        <v>1280</v>
      </c>
      <c r="B655" s="55" t="s">
        <v>1273</v>
      </c>
      <c r="C655" s="60">
        <v>1200000</v>
      </c>
    </row>
    <row r="656" spans="1:3" ht="13">
      <c r="A656" s="54" t="s">
        <v>1281</v>
      </c>
      <c r="B656" s="55" t="s">
        <v>1282</v>
      </c>
      <c r="C656" s="60">
        <v>1100000</v>
      </c>
    </row>
    <row r="657" spans="1:3" ht="13">
      <c r="A657" s="54" t="s">
        <v>1283</v>
      </c>
      <c r="B657" s="55" t="s">
        <v>1284</v>
      </c>
      <c r="C657" s="60">
        <v>1100000</v>
      </c>
    </row>
    <row r="658" spans="1:3" ht="13">
      <c r="A658" s="54" t="s">
        <v>1285</v>
      </c>
      <c r="B658" s="55" t="s">
        <v>1286</v>
      </c>
      <c r="C658" s="60">
        <v>1400000</v>
      </c>
    </row>
    <row r="659" spans="1:3" ht="13">
      <c r="A659" s="54" t="s">
        <v>1287</v>
      </c>
      <c r="B659" s="55" t="s">
        <v>1288</v>
      </c>
      <c r="C659" s="60">
        <v>1400000</v>
      </c>
    </row>
    <row r="660" spans="1:3" ht="13">
      <c r="A660" s="54" t="s">
        <v>1289</v>
      </c>
      <c r="B660" s="55" t="s">
        <v>1275</v>
      </c>
      <c r="C660" s="60">
        <v>1200000</v>
      </c>
    </row>
    <row r="661" spans="1:3" ht="13">
      <c r="A661" s="54" t="s">
        <v>1290</v>
      </c>
      <c r="B661" s="55" t="s">
        <v>1291</v>
      </c>
      <c r="C661" s="60">
        <v>950000</v>
      </c>
    </row>
    <row r="662" spans="1:3" ht="13">
      <c r="A662" s="54" t="s">
        <v>1292</v>
      </c>
      <c r="B662" s="55" t="s">
        <v>1293</v>
      </c>
      <c r="C662" s="60">
        <v>950000</v>
      </c>
    </row>
    <row r="663" spans="1:3" ht="13">
      <c r="A663" s="54" t="s">
        <v>1294</v>
      </c>
      <c r="B663" s="55" t="s">
        <v>1295</v>
      </c>
      <c r="C663" s="62">
        <v>1100000</v>
      </c>
    </row>
    <row r="664" spans="1:3" ht="13">
      <c r="A664" s="54" t="s">
        <v>1296</v>
      </c>
      <c r="B664" s="55" t="s">
        <v>1297</v>
      </c>
      <c r="C664" s="62">
        <v>1100000</v>
      </c>
    </row>
    <row r="665" spans="1:3" ht="13">
      <c r="A665" s="54" t="s">
        <v>1298</v>
      </c>
      <c r="B665" s="55" t="s">
        <v>1299</v>
      </c>
      <c r="C665" s="60">
        <v>950000</v>
      </c>
    </row>
    <row r="666" spans="1:3" ht="13">
      <c r="A666" s="54" t="s">
        <v>1300</v>
      </c>
      <c r="B666" s="55" t="s">
        <v>1301</v>
      </c>
      <c r="C666" s="60">
        <v>950000</v>
      </c>
    </row>
    <row r="667" spans="1:3" ht="13">
      <c r="A667" s="54" t="s">
        <v>1302</v>
      </c>
      <c r="B667" s="55" t="s">
        <v>1303</v>
      </c>
      <c r="C667" s="60">
        <v>950000</v>
      </c>
    </row>
    <row r="668" spans="1:3" ht="13">
      <c r="A668" s="54" t="s">
        <v>1304</v>
      </c>
      <c r="B668" s="55" t="s">
        <v>1305</v>
      </c>
      <c r="C668" s="60">
        <v>950000</v>
      </c>
    </row>
    <row r="669" spans="1:3" ht="13">
      <c r="A669" s="54" t="s">
        <v>1306</v>
      </c>
      <c r="B669" s="55" t="s">
        <v>1216</v>
      </c>
      <c r="C669" s="60">
        <v>950000</v>
      </c>
    </row>
    <row r="670" spans="1:3" ht="13">
      <c r="A670" s="54" t="s">
        <v>1307</v>
      </c>
      <c r="B670" s="55" t="s">
        <v>1308</v>
      </c>
      <c r="C670" s="60">
        <v>950000</v>
      </c>
    </row>
    <row r="671" spans="1:3" ht="13">
      <c r="A671" s="54" t="s">
        <v>1309</v>
      </c>
      <c r="B671" s="55" t="s">
        <v>1310</v>
      </c>
      <c r="C671" s="60">
        <v>950000</v>
      </c>
    </row>
    <row r="672" spans="1:3" ht="13">
      <c r="A672" s="54" t="s">
        <v>1311</v>
      </c>
      <c r="B672" s="57" t="s">
        <v>1312</v>
      </c>
      <c r="C672" s="60">
        <v>950000</v>
      </c>
    </row>
    <row r="673" spans="1:3" ht="13">
      <c r="A673" s="54" t="s">
        <v>1313</v>
      </c>
      <c r="B673" s="55" t="s">
        <v>1314</v>
      </c>
      <c r="C673" s="60">
        <v>1000000</v>
      </c>
    </row>
    <row r="674" spans="1:3" ht="13">
      <c r="A674" s="54" t="s">
        <v>1315</v>
      </c>
      <c r="B674" s="55" t="s">
        <v>1316</v>
      </c>
      <c r="C674" s="60">
        <v>1000000</v>
      </c>
    </row>
    <row r="675" spans="1:3" ht="13">
      <c r="A675" s="54" t="s">
        <v>1317</v>
      </c>
      <c r="B675" s="55" t="s">
        <v>1318</v>
      </c>
      <c r="C675" s="60">
        <v>1000000</v>
      </c>
    </row>
    <row r="676" spans="1:3" ht="13">
      <c r="A676" s="54" t="s">
        <v>1319</v>
      </c>
      <c r="B676" s="55" t="s">
        <v>1320</v>
      </c>
      <c r="C676" s="60">
        <v>1500000</v>
      </c>
    </row>
    <row r="677" spans="1:3" ht="13">
      <c r="A677" s="54" t="s">
        <v>1321</v>
      </c>
      <c r="B677" s="55" t="s">
        <v>1322</v>
      </c>
      <c r="C677" s="60">
        <v>1300000</v>
      </c>
    </row>
    <row r="678" spans="1:3" ht="13">
      <c r="A678" s="54" t="s">
        <v>1323</v>
      </c>
      <c r="B678" s="55" t="s">
        <v>1324</v>
      </c>
      <c r="C678" s="60">
        <v>1200000</v>
      </c>
    </row>
    <row r="679" spans="1:3" ht="13">
      <c r="A679" s="54" t="s">
        <v>1325</v>
      </c>
      <c r="B679" s="57" t="s">
        <v>1326</v>
      </c>
      <c r="C679" s="60">
        <v>1000000</v>
      </c>
    </row>
    <row r="680" spans="1:3" ht="13">
      <c r="A680" s="54"/>
      <c r="B680" s="55"/>
      <c r="C680" s="61"/>
    </row>
    <row r="681" spans="1:3" ht="13">
      <c r="A681" s="54"/>
      <c r="B681" s="55"/>
      <c r="C681" s="61"/>
    </row>
    <row r="682" spans="1:3" ht="13">
      <c r="A682" s="54" t="s">
        <v>1327</v>
      </c>
      <c r="B682" s="55" t="s">
        <v>1328</v>
      </c>
      <c r="C682" s="60">
        <v>1000000</v>
      </c>
    </row>
    <row r="683" spans="1:3" ht="13">
      <c r="A683" s="54" t="s">
        <v>1329</v>
      </c>
      <c r="B683" s="55" t="s">
        <v>1330</v>
      </c>
      <c r="C683" s="60">
        <v>950000</v>
      </c>
    </row>
    <row r="684" spans="1:3" ht="13">
      <c r="A684" s="54" t="s">
        <v>1331</v>
      </c>
      <c r="B684" s="55" t="s">
        <v>1332</v>
      </c>
      <c r="C684" s="60">
        <v>950000</v>
      </c>
    </row>
    <row r="685" spans="1:3" ht="13">
      <c r="A685" s="54" t="s">
        <v>1333</v>
      </c>
      <c r="B685" s="55" t="s">
        <v>1334</v>
      </c>
      <c r="C685" s="60">
        <v>1100000</v>
      </c>
    </row>
    <row r="686" spans="1:3" ht="13">
      <c r="A686" s="54" t="s">
        <v>1335</v>
      </c>
      <c r="B686" s="55" t="s">
        <v>1335</v>
      </c>
      <c r="C686" s="60">
        <v>1500000</v>
      </c>
    </row>
    <row r="687" spans="1:3" ht="13">
      <c r="A687" s="54" t="s">
        <v>1336</v>
      </c>
      <c r="B687" s="55" t="s">
        <v>1334</v>
      </c>
      <c r="C687" s="60">
        <v>1400000</v>
      </c>
    </row>
    <row r="688" spans="1:3" ht="13">
      <c r="A688" s="54" t="s">
        <v>1337</v>
      </c>
      <c r="B688" s="55" t="s">
        <v>1338</v>
      </c>
      <c r="C688" s="60">
        <v>1400000</v>
      </c>
    </row>
    <row r="689" spans="1:3" ht="13">
      <c r="A689" s="54"/>
      <c r="B689" s="55"/>
      <c r="C689" s="61"/>
    </row>
    <row r="690" spans="1:3" ht="13">
      <c r="A690" s="54" t="s">
        <v>1339</v>
      </c>
      <c r="B690" s="55" t="s">
        <v>1340</v>
      </c>
      <c r="C690" s="60">
        <v>950000</v>
      </c>
    </row>
    <row r="691" spans="1:3" ht="13">
      <c r="A691" s="54" t="s">
        <v>1341</v>
      </c>
      <c r="B691" s="55" t="s">
        <v>1342</v>
      </c>
      <c r="C691" s="60">
        <v>950000</v>
      </c>
    </row>
    <row r="692" spans="1:3" ht="13">
      <c r="A692" s="54" t="s">
        <v>1343</v>
      </c>
      <c r="B692" s="55" t="s">
        <v>1344</v>
      </c>
      <c r="C692" s="60">
        <v>1500000</v>
      </c>
    </row>
    <row r="693" spans="1:3" ht="13">
      <c r="A693" s="54" t="s">
        <v>1345</v>
      </c>
      <c r="B693" s="55" t="s">
        <v>1346</v>
      </c>
      <c r="C693" s="60">
        <v>1500000</v>
      </c>
    </row>
    <row r="694" spans="1:3" ht="13">
      <c r="A694" s="54" t="s">
        <v>1347</v>
      </c>
      <c r="B694" s="55" t="s">
        <v>1348</v>
      </c>
      <c r="C694" s="60">
        <v>1400000</v>
      </c>
    </row>
    <row r="695" spans="1:3" ht="13">
      <c r="A695" s="54" t="s">
        <v>1349</v>
      </c>
      <c r="B695" s="55" t="s">
        <v>1350</v>
      </c>
      <c r="C695" s="60">
        <v>1400000</v>
      </c>
    </row>
    <row r="696" spans="1:3" ht="13">
      <c r="A696" s="54" t="s">
        <v>1351</v>
      </c>
      <c r="B696" s="55" t="s">
        <v>1352</v>
      </c>
      <c r="C696" s="60">
        <v>1100000</v>
      </c>
    </row>
    <row r="697" spans="1:3" ht="13">
      <c r="A697" s="54" t="s">
        <v>1353</v>
      </c>
      <c r="B697" s="55" t="s">
        <v>1354</v>
      </c>
      <c r="C697" s="60">
        <v>1100000</v>
      </c>
    </row>
    <row r="698" spans="1:3" ht="13">
      <c r="A698" s="54" t="s">
        <v>1355</v>
      </c>
      <c r="B698" s="55" t="s">
        <v>1221</v>
      </c>
      <c r="C698" s="60">
        <v>1150000</v>
      </c>
    </row>
    <row r="699" spans="1:3" ht="13">
      <c r="A699" s="54" t="s">
        <v>1356</v>
      </c>
      <c r="B699" s="55" t="s">
        <v>1357</v>
      </c>
      <c r="C699" s="60">
        <v>1150000</v>
      </c>
    </row>
    <row r="700" spans="1:3" ht="13">
      <c r="A700" s="54" t="s">
        <v>1358</v>
      </c>
      <c r="B700" s="55" t="s">
        <v>1359</v>
      </c>
      <c r="C700" s="60">
        <v>1000000</v>
      </c>
    </row>
    <row r="701" spans="1:3" ht="13">
      <c r="A701" s="54" t="s">
        <v>1360</v>
      </c>
      <c r="B701" s="55" t="s">
        <v>1361</v>
      </c>
      <c r="C701" s="60">
        <v>950000</v>
      </c>
    </row>
    <row r="702" spans="1:3" ht="13">
      <c r="A702" s="54" t="s">
        <v>1362</v>
      </c>
      <c r="B702" s="55" t="s">
        <v>1363</v>
      </c>
      <c r="C702" s="60">
        <v>1100000</v>
      </c>
    </row>
    <row r="703" spans="1:3" ht="13">
      <c r="A703" s="54" t="s">
        <v>1364</v>
      </c>
      <c r="B703" s="55" t="s">
        <v>1365</v>
      </c>
      <c r="C703" s="60">
        <v>1100000</v>
      </c>
    </row>
    <row r="704" spans="1:3" ht="13">
      <c r="A704" s="54" t="s">
        <v>1366</v>
      </c>
      <c r="B704" s="55" t="s">
        <v>1367</v>
      </c>
      <c r="C704" s="60">
        <v>1250000</v>
      </c>
    </row>
    <row r="705" spans="1:3" ht="13">
      <c r="A705" s="54" t="s">
        <v>1368</v>
      </c>
      <c r="B705" s="55" t="s">
        <v>1369</v>
      </c>
      <c r="C705" s="60">
        <v>1400000</v>
      </c>
    </row>
    <row r="706" spans="1:3" ht="13">
      <c r="A706" s="54" t="s">
        <v>1370</v>
      </c>
      <c r="B706" s="55" t="s">
        <v>1335</v>
      </c>
      <c r="C706" s="60">
        <v>1400000</v>
      </c>
    </row>
    <row r="707" spans="1:3" ht="13">
      <c r="A707" s="54" t="s">
        <v>1371</v>
      </c>
      <c r="B707" s="55" t="s">
        <v>1335</v>
      </c>
      <c r="C707" s="60">
        <v>1500000</v>
      </c>
    </row>
    <row r="708" spans="1:3" ht="13">
      <c r="A708" s="54" t="s">
        <v>1372</v>
      </c>
      <c r="B708" s="55" t="s">
        <v>1216</v>
      </c>
      <c r="C708" s="60">
        <v>1500000</v>
      </c>
    </row>
    <row r="709" spans="1:3" ht="13">
      <c r="A709" s="54" t="s">
        <v>1373</v>
      </c>
      <c r="B709" s="55" t="s">
        <v>1335</v>
      </c>
      <c r="C709" s="60">
        <v>1500000</v>
      </c>
    </row>
    <row r="710" spans="1:3" ht="13">
      <c r="A710" s="52" t="s">
        <v>1374</v>
      </c>
      <c r="B710" s="53" t="s">
        <v>1375</v>
      </c>
      <c r="C710" s="63">
        <v>1100000</v>
      </c>
    </row>
    <row r="711" spans="1:3" ht="13">
      <c r="A711" s="54" t="s">
        <v>1376</v>
      </c>
      <c r="B711" s="55" t="s">
        <v>1221</v>
      </c>
      <c r="C711" s="60">
        <v>1500000</v>
      </c>
    </row>
    <row r="712" spans="1:3" ht="13">
      <c r="A712" s="54" t="s">
        <v>1377</v>
      </c>
      <c r="B712" s="55" t="s">
        <v>1335</v>
      </c>
      <c r="C712" s="60">
        <v>1300000</v>
      </c>
    </row>
    <row r="713" spans="1:3" ht="13">
      <c r="A713" s="54" t="s">
        <v>1378</v>
      </c>
      <c r="B713" s="55" t="s">
        <v>1335</v>
      </c>
      <c r="C713" s="60">
        <v>1500000</v>
      </c>
    </row>
    <row r="714" spans="1:3" ht="13">
      <c r="A714" s="54" t="s">
        <v>1379</v>
      </c>
      <c r="B714" s="55" t="s">
        <v>1335</v>
      </c>
      <c r="C714" s="60">
        <v>1500000</v>
      </c>
    </row>
    <row r="715" spans="1:3" ht="13">
      <c r="A715" s="54" t="s">
        <v>1380</v>
      </c>
      <c r="B715" s="55" t="s">
        <v>1335</v>
      </c>
      <c r="C715" s="60">
        <v>1500000</v>
      </c>
    </row>
    <row r="716" spans="1:3" ht="13">
      <c r="A716" s="54" t="s">
        <v>1381</v>
      </c>
      <c r="B716" s="55" t="s">
        <v>1382</v>
      </c>
      <c r="C716" s="60">
        <v>1100000</v>
      </c>
    </row>
    <row r="717" spans="1:3" ht="13">
      <c r="A717" s="54"/>
      <c r="B717" s="55"/>
      <c r="C717" s="61"/>
    </row>
    <row r="718" spans="1:3" ht="13">
      <c r="A718" s="54"/>
      <c r="B718" s="55"/>
      <c r="C718" s="61"/>
    </row>
    <row r="719" spans="1:3" ht="13">
      <c r="A719" s="54"/>
      <c r="B719" s="55"/>
      <c r="C719" s="61"/>
    </row>
    <row r="720" spans="1:3" ht="13">
      <c r="A720" s="54" t="s">
        <v>1383</v>
      </c>
      <c r="B720" s="55" t="s">
        <v>1384</v>
      </c>
      <c r="C720" s="60">
        <v>1500000</v>
      </c>
    </row>
    <row r="721" spans="1:3" ht="13">
      <c r="A721" s="54" t="s">
        <v>1385</v>
      </c>
      <c r="B721" s="55" t="s">
        <v>1386</v>
      </c>
      <c r="C721" s="60">
        <v>1500000</v>
      </c>
    </row>
    <row r="722" spans="1:3" ht="13">
      <c r="A722" s="54" t="s">
        <v>1387</v>
      </c>
      <c r="B722" s="55" t="s">
        <v>1335</v>
      </c>
      <c r="C722" s="60">
        <v>1500000</v>
      </c>
    </row>
    <row r="723" spans="1:3" ht="13">
      <c r="A723" s="54" t="s">
        <v>1388</v>
      </c>
      <c r="B723" s="55" t="s">
        <v>1216</v>
      </c>
      <c r="C723" s="60">
        <v>1000000</v>
      </c>
    </row>
    <row r="724" spans="1:3" ht="13">
      <c r="A724" s="54" t="s">
        <v>1389</v>
      </c>
      <c r="B724" s="55" t="s">
        <v>1384</v>
      </c>
      <c r="C724" s="60">
        <v>1000000</v>
      </c>
    </row>
    <row r="725" spans="1:3" ht="13">
      <c r="A725" s="54" t="s">
        <v>1390</v>
      </c>
      <c r="B725" s="55" t="s">
        <v>1221</v>
      </c>
      <c r="C725" s="60">
        <v>950000</v>
      </c>
    </row>
    <row r="726" spans="1:3" ht="13">
      <c r="A726" s="54" t="s">
        <v>1391</v>
      </c>
      <c r="B726" s="55" t="s">
        <v>1384</v>
      </c>
      <c r="C726" s="60">
        <v>950000</v>
      </c>
    </row>
    <row r="727" spans="1:3" ht="13">
      <c r="A727" s="54" t="s">
        <v>1392</v>
      </c>
      <c r="B727" s="55" t="s">
        <v>1216</v>
      </c>
      <c r="C727" s="60">
        <v>1100000</v>
      </c>
    </row>
    <row r="728" spans="1:3" ht="13">
      <c r="A728" s="54" t="s">
        <v>1393</v>
      </c>
      <c r="B728" s="55" t="s">
        <v>1367</v>
      </c>
      <c r="C728" s="60">
        <v>1100000</v>
      </c>
    </row>
    <row r="729" spans="1:3" ht="13">
      <c r="A729" s="54" t="s">
        <v>1394</v>
      </c>
      <c r="B729" s="55" t="s">
        <v>1221</v>
      </c>
      <c r="C729" s="60">
        <v>1200000</v>
      </c>
    </row>
    <row r="730" spans="1:3" ht="13">
      <c r="A730" s="54" t="s">
        <v>1395</v>
      </c>
      <c r="B730" s="55" t="s">
        <v>1367</v>
      </c>
      <c r="C730" s="60">
        <v>1200000</v>
      </c>
    </row>
    <row r="731" spans="1:3" ht="13">
      <c r="A731" s="54" t="s">
        <v>1396</v>
      </c>
      <c r="B731" s="55" t="s">
        <v>1367</v>
      </c>
      <c r="C731" s="60">
        <v>1200000</v>
      </c>
    </row>
    <row r="732" spans="1:3" ht="13">
      <c r="A732" s="54" t="s">
        <v>1397</v>
      </c>
      <c r="B732" s="55" t="s">
        <v>1268</v>
      </c>
      <c r="C732" s="60">
        <v>1200000</v>
      </c>
    </row>
    <row r="733" spans="1:3" ht="13">
      <c r="A733" s="54" t="s">
        <v>1398</v>
      </c>
      <c r="B733" s="55" t="s">
        <v>1216</v>
      </c>
      <c r="C733" s="60">
        <v>950000</v>
      </c>
    </row>
    <row r="734" spans="1:3" ht="13">
      <c r="A734" s="54" t="s">
        <v>1399</v>
      </c>
      <c r="B734" s="55" t="s">
        <v>1400</v>
      </c>
      <c r="C734" s="60">
        <v>950000</v>
      </c>
    </row>
    <row r="735" spans="1:3" ht="13">
      <c r="A735" s="54" t="s">
        <v>1401</v>
      </c>
      <c r="B735" s="55" t="s">
        <v>1402</v>
      </c>
      <c r="C735" s="60">
        <v>1500000</v>
      </c>
    </row>
    <row r="736" spans="1:3" ht="13">
      <c r="A736" s="54" t="s">
        <v>1403</v>
      </c>
      <c r="B736" s="55" t="s">
        <v>1404</v>
      </c>
      <c r="C736" s="60">
        <v>1500000</v>
      </c>
    </row>
    <row r="737" spans="1:3" ht="13">
      <c r="A737" s="54" t="s">
        <v>1405</v>
      </c>
      <c r="B737" s="55" t="s">
        <v>1404</v>
      </c>
      <c r="C737" s="60">
        <v>1400000</v>
      </c>
    </row>
    <row r="738" spans="1:3" ht="13">
      <c r="A738" s="54" t="s">
        <v>1406</v>
      </c>
      <c r="B738" s="55" t="s">
        <v>1404</v>
      </c>
      <c r="C738" s="61"/>
    </row>
    <row r="739" spans="1:3" ht="13">
      <c r="A739" s="54"/>
      <c r="B739" s="55"/>
      <c r="C739" s="61"/>
    </row>
    <row r="740" spans="1:3" ht="13">
      <c r="A740" s="59"/>
      <c r="B740" s="59" t="s">
        <v>1407</v>
      </c>
      <c r="C740" s="61"/>
    </row>
    <row r="741" spans="1:3" ht="13">
      <c r="A741" s="54" t="s">
        <v>1408</v>
      </c>
      <c r="B741" s="55" t="s">
        <v>1409</v>
      </c>
      <c r="C741" s="60">
        <v>1500000</v>
      </c>
    </row>
    <row r="742" spans="1:3" ht="13">
      <c r="A742" s="54" t="s">
        <v>1410</v>
      </c>
      <c r="B742" s="57" t="s">
        <v>1411</v>
      </c>
      <c r="C742" s="60">
        <v>1500000</v>
      </c>
    </row>
    <row r="743" spans="1:3" ht="13">
      <c r="A743" s="54" t="s">
        <v>1412</v>
      </c>
      <c r="B743" s="55" t="s">
        <v>1413</v>
      </c>
      <c r="C743" s="60">
        <v>1500000</v>
      </c>
    </row>
    <row r="744" spans="1:3" ht="13">
      <c r="A744" s="54" t="s">
        <v>1414</v>
      </c>
      <c r="B744" s="55" t="s">
        <v>1415</v>
      </c>
      <c r="C744" s="60">
        <v>1500000</v>
      </c>
    </row>
    <row r="745" spans="1:3" ht="13">
      <c r="A745" s="54" t="s">
        <v>1416</v>
      </c>
      <c r="B745" s="55" t="s">
        <v>1404</v>
      </c>
      <c r="C745" s="60">
        <v>1500000</v>
      </c>
    </row>
    <row r="746" spans="1:3" ht="13">
      <c r="A746" s="54" t="s">
        <v>1417</v>
      </c>
      <c r="B746" s="55" t="s">
        <v>1216</v>
      </c>
      <c r="C746" s="60">
        <v>1500000</v>
      </c>
    </row>
    <row r="747" spans="1:3" ht="13">
      <c r="A747" s="54" t="s">
        <v>1418</v>
      </c>
      <c r="B747" s="55" t="s">
        <v>1216</v>
      </c>
      <c r="C747" s="60">
        <v>1500000</v>
      </c>
    </row>
    <row r="748" spans="1:3" ht="13">
      <c r="A748" s="54" t="s">
        <v>1419</v>
      </c>
      <c r="B748" s="55" t="s">
        <v>1216</v>
      </c>
      <c r="C748" s="60">
        <v>1500000</v>
      </c>
    </row>
    <row r="749" spans="1:3" ht="13">
      <c r="A749" s="54" t="s">
        <v>1420</v>
      </c>
      <c r="B749" s="55" t="s">
        <v>1421</v>
      </c>
      <c r="C749" s="60">
        <v>1500000</v>
      </c>
    </row>
    <row r="750" spans="1:3" ht="13">
      <c r="A750" s="54" t="s">
        <v>1422</v>
      </c>
      <c r="B750" s="55" t="s">
        <v>1216</v>
      </c>
      <c r="C750" s="60">
        <v>1500000</v>
      </c>
    </row>
    <row r="751" spans="1:3" ht="13">
      <c r="A751" s="54" t="s">
        <v>1423</v>
      </c>
      <c r="B751" s="55" t="s">
        <v>1216</v>
      </c>
      <c r="C751" s="60">
        <v>1500000</v>
      </c>
    </row>
    <row r="752" spans="1:3" ht="13">
      <c r="A752" s="54" t="s">
        <v>1424</v>
      </c>
      <c r="B752" s="55" t="s">
        <v>1425</v>
      </c>
      <c r="C752" s="60">
        <v>1500000</v>
      </c>
    </row>
    <row r="753" spans="1:3" ht="13">
      <c r="A753" s="54" t="s">
        <v>1426</v>
      </c>
      <c r="B753" s="55" t="s">
        <v>1415</v>
      </c>
      <c r="C753" s="60">
        <v>1400000</v>
      </c>
    </row>
    <row r="754" spans="1:3" ht="13">
      <c r="A754" s="54"/>
      <c r="B754" s="59" t="s">
        <v>1427</v>
      </c>
      <c r="C754" s="61"/>
    </row>
    <row r="755" spans="1:3" ht="13">
      <c r="A755" s="54" t="s">
        <v>1428</v>
      </c>
      <c r="B755" s="55" t="s">
        <v>1429</v>
      </c>
      <c r="C755" s="61"/>
    </row>
    <row r="756" spans="1:3" ht="13">
      <c r="A756" s="54" t="s">
        <v>1430</v>
      </c>
      <c r="B756" s="55" t="s">
        <v>1216</v>
      </c>
      <c r="C756" s="61"/>
    </row>
    <row r="757" spans="1:3" ht="13">
      <c r="A757" s="54" t="s">
        <v>1431</v>
      </c>
      <c r="B757" s="55" t="s">
        <v>1386</v>
      </c>
      <c r="C757" s="61"/>
    </row>
    <row r="758" spans="1:3" ht="13">
      <c r="A758" s="54"/>
      <c r="B758" s="55"/>
      <c r="C758" s="61"/>
    </row>
    <row r="759" spans="1:3" ht="13">
      <c r="A759" s="54" t="s">
        <v>1432</v>
      </c>
      <c r="B759" s="55" t="s">
        <v>1221</v>
      </c>
      <c r="C759" s="61"/>
    </row>
    <row r="760" spans="1:3" ht="13">
      <c r="A760" s="54" t="s">
        <v>1433</v>
      </c>
      <c r="B760" s="55" t="s">
        <v>1434</v>
      </c>
      <c r="C760" s="60">
        <v>1200000</v>
      </c>
    </row>
    <row r="761" spans="1:3" ht="13">
      <c r="A761" s="54" t="s">
        <v>1435</v>
      </c>
      <c r="B761" s="55" t="s">
        <v>1221</v>
      </c>
      <c r="C761" s="60">
        <v>1500000</v>
      </c>
    </row>
    <row r="762" spans="1:3" ht="13">
      <c r="A762" s="59" t="s">
        <v>1436</v>
      </c>
      <c r="B762" s="57" t="s">
        <v>1404</v>
      </c>
      <c r="C762" s="60">
        <v>1500000</v>
      </c>
    </row>
    <row r="763" spans="1:3" ht="13">
      <c r="C763" s="64"/>
    </row>
    <row r="764" spans="1:3" ht="13">
      <c r="C764" s="64"/>
    </row>
    <row r="765" spans="1:3" ht="13">
      <c r="C765" s="64"/>
    </row>
    <row r="766" spans="1:3" ht="13">
      <c r="C766" s="64"/>
    </row>
    <row r="767" spans="1:3" ht="13">
      <c r="C767" s="64"/>
    </row>
    <row r="768" spans="1:3" ht="13">
      <c r="C768" s="64"/>
    </row>
    <row r="769" spans="3:3" ht="13">
      <c r="C769" s="64"/>
    </row>
    <row r="770" spans="3:3" ht="13">
      <c r="C770" s="64"/>
    </row>
    <row r="771" spans="3:3" ht="13">
      <c r="C771" s="64"/>
    </row>
    <row r="772" spans="3:3" ht="13">
      <c r="C772" s="64"/>
    </row>
    <row r="773" spans="3:3" ht="13">
      <c r="C773" s="64"/>
    </row>
    <row r="774" spans="3:3" ht="13">
      <c r="C774" s="64"/>
    </row>
    <row r="775" spans="3:3" ht="13">
      <c r="C775" s="64"/>
    </row>
    <row r="776" spans="3:3" ht="13">
      <c r="C776" s="64"/>
    </row>
    <row r="777" spans="3:3" ht="13">
      <c r="C777" s="64"/>
    </row>
    <row r="778" spans="3:3" ht="13">
      <c r="C778" s="64"/>
    </row>
    <row r="779" spans="3:3" ht="13">
      <c r="C779" s="64"/>
    </row>
    <row r="780" spans="3:3" ht="13">
      <c r="C780" s="64"/>
    </row>
    <row r="781" spans="3:3" ht="13">
      <c r="C781" s="64"/>
    </row>
    <row r="782" spans="3:3" ht="13">
      <c r="C782" s="64"/>
    </row>
    <row r="783" spans="3:3" ht="13">
      <c r="C783" s="64"/>
    </row>
    <row r="784" spans="3:3" ht="13">
      <c r="C784" s="64"/>
    </row>
    <row r="785" spans="3:3" ht="13">
      <c r="C785" s="64"/>
    </row>
    <row r="786" spans="3:3" ht="13">
      <c r="C786" s="64"/>
    </row>
    <row r="787" spans="3:3" ht="13">
      <c r="C787" s="64"/>
    </row>
    <row r="788" spans="3:3" ht="13">
      <c r="C788" s="64"/>
    </row>
    <row r="789" spans="3:3" ht="13">
      <c r="C789" s="64"/>
    </row>
    <row r="790" spans="3:3" ht="13">
      <c r="C790" s="64"/>
    </row>
    <row r="791" spans="3:3" ht="13">
      <c r="C791" s="64"/>
    </row>
    <row r="792" spans="3:3" ht="13">
      <c r="C792" s="64"/>
    </row>
    <row r="793" spans="3:3" ht="13">
      <c r="C793" s="64"/>
    </row>
    <row r="794" spans="3:3" ht="13">
      <c r="C794" s="64"/>
    </row>
    <row r="795" spans="3:3" ht="13">
      <c r="C795" s="64"/>
    </row>
    <row r="796" spans="3:3" ht="13">
      <c r="C796" s="64"/>
    </row>
    <row r="797" spans="3:3" ht="13">
      <c r="C797" s="64"/>
    </row>
    <row r="798" spans="3:3" ht="13">
      <c r="C798" s="64"/>
    </row>
    <row r="799" spans="3:3" ht="13">
      <c r="C799" s="64"/>
    </row>
    <row r="800" spans="3:3" ht="13">
      <c r="C800" s="64"/>
    </row>
    <row r="801" spans="3:3" ht="13">
      <c r="C801" s="64"/>
    </row>
    <row r="802" spans="3:3" ht="13">
      <c r="C802" s="64"/>
    </row>
    <row r="803" spans="3:3" ht="13">
      <c r="C803" s="64"/>
    </row>
    <row r="804" spans="3:3" ht="13">
      <c r="C804" s="64"/>
    </row>
    <row r="805" spans="3:3" ht="13">
      <c r="C805" s="64"/>
    </row>
    <row r="806" spans="3:3" ht="13">
      <c r="C806" s="64"/>
    </row>
    <row r="807" spans="3:3" ht="13">
      <c r="C807" s="64"/>
    </row>
    <row r="808" spans="3:3" ht="13">
      <c r="C808" s="64"/>
    </row>
    <row r="809" spans="3:3" ht="13">
      <c r="C809" s="64"/>
    </row>
    <row r="810" spans="3:3" ht="13">
      <c r="C810" s="64"/>
    </row>
    <row r="811" spans="3:3" ht="13">
      <c r="C811" s="64"/>
    </row>
    <row r="812" spans="3:3" ht="13">
      <c r="C812" s="64"/>
    </row>
    <row r="813" spans="3:3" ht="13">
      <c r="C813" s="64"/>
    </row>
    <row r="814" spans="3:3" ht="13">
      <c r="C814" s="64"/>
    </row>
    <row r="815" spans="3:3" ht="13">
      <c r="C815" s="64"/>
    </row>
    <row r="816" spans="3:3" ht="13">
      <c r="C816" s="64"/>
    </row>
    <row r="817" spans="3:3" ht="13">
      <c r="C817" s="64"/>
    </row>
    <row r="818" spans="3:3" ht="13">
      <c r="C818" s="64"/>
    </row>
    <row r="819" spans="3:3" ht="13">
      <c r="C819" s="64"/>
    </row>
    <row r="820" spans="3:3" ht="13">
      <c r="C820" s="64"/>
    </row>
    <row r="821" spans="3:3" ht="13">
      <c r="C821" s="64"/>
    </row>
    <row r="822" spans="3:3" ht="13">
      <c r="C822" s="64"/>
    </row>
    <row r="823" spans="3:3" ht="13">
      <c r="C823" s="64"/>
    </row>
    <row r="824" spans="3:3" ht="13">
      <c r="C824" s="64"/>
    </row>
    <row r="825" spans="3:3" ht="13">
      <c r="C825" s="64"/>
    </row>
    <row r="826" spans="3:3" ht="13">
      <c r="C826" s="64"/>
    </row>
    <row r="827" spans="3:3" ht="13">
      <c r="C827" s="64"/>
    </row>
    <row r="828" spans="3:3" ht="13">
      <c r="C828" s="64"/>
    </row>
    <row r="829" spans="3:3" ht="13">
      <c r="C829" s="64"/>
    </row>
    <row r="830" spans="3:3" ht="13">
      <c r="C830" s="64"/>
    </row>
    <row r="831" spans="3:3" ht="13">
      <c r="C831" s="64"/>
    </row>
    <row r="832" spans="3:3" ht="13">
      <c r="C832" s="64"/>
    </row>
    <row r="833" spans="3:3" ht="13">
      <c r="C833" s="64"/>
    </row>
    <row r="834" spans="3:3" ht="13">
      <c r="C834" s="64"/>
    </row>
    <row r="835" spans="3:3" ht="13">
      <c r="C835" s="64"/>
    </row>
    <row r="836" spans="3:3" ht="13">
      <c r="C836" s="64"/>
    </row>
    <row r="837" spans="3:3" ht="13">
      <c r="C837" s="64"/>
    </row>
    <row r="838" spans="3:3" ht="13">
      <c r="C838" s="64"/>
    </row>
    <row r="839" spans="3:3" ht="13">
      <c r="C839" s="64"/>
    </row>
    <row r="840" spans="3:3" ht="13">
      <c r="C840" s="64"/>
    </row>
    <row r="841" spans="3:3" ht="13">
      <c r="C841" s="64"/>
    </row>
    <row r="842" spans="3:3" ht="13">
      <c r="C842" s="64"/>
    </row>
    <row r="843" spans="3:3" ht="13">
      <c r="C843" s="64"/>
    </row>
    <row r="844" spans="3:3" ht="13">
      <c r="C844" s="64"/>
    </row>
    <row r="845" spans="3:3" ht="13">
      <c r="C845" s="64"/>
    </row>
    <row r="846" spans="3:3" ht="13">
      <c r="C846" s="64"/>
    </row>
    <row r="847" spans="3:3" ht="13">
      <c r="C847" s="64"/>
    </row>
    <row r="848" spans="3:3" ht="13">
      <c r="C848" s="64"/>
    </row>
    <row r="849" spans="3:3" ht="13">
      <c r="C849" s="64"/>
    </row>
    <row r="850" spans="3:3" ht="13">
      <c r="C850" s="64"/>
    </row>
    <row r="851" spans="3:3" ht="13">
      <c r="C851" s="64"/>
    </row>
    <row r="852" spans="3:3" ht="13">
      <c r="C852" s="64"/>
    </row>
    <row r="853" spans="3:3" ht="13">
      <c r="C853" s="64"/>
    </row>
    <row r="854" spans="3:3" ht="13">
      <c r="C854" s="64"/>
    </row>
    <row r="855" spans="3:3" ht="13">
      <c r="C855" s="64"/>
    </row>
    <row r="856" spans="3:3" ht="13">
      <c r="C856" s="64"/>
    </row>
    <row r="857" spans="3:3" ht="13">
      <c r="C857" s="64"/>
    </row>
    <row r="858" spans="3:3" ht="13">
      <c r="C858" s="64"/>
    </row>
    <row r="859" spans="3:3" ht="13">
      <c r="C859" s="64"/>
    </row>
    <row r="860" spans="3:3" ht="13">
      <c r="C860" s="64"/>
    </row>
    <row r="861" spans="3:3" ht="13">
      <c r="C861" s="64"/>
    </row>
    <row r="862" spans="3:3" ht="13">
      <c r="C862" s="64"/>
    </row>
    <row r="863" spans="3:3" ht="13">
      <c r="C863" s="64"/>
    </row>
    <row r="864" spans="3:3" ht="13">
      <c r="C864" s="64"/>
    </row>
    <row r="865" spans="3:3" ht="13">
      <c r="C865" s="64"/>
    </row>
    <row r="866" spans="3:3" ht="13">
      <c r="C866" s="64"/>
    </row>
    <row r="867" spans="3:3" ht="13">
      <c r="C867" s="64"/>
    </row>
    <row r="868" spans="3:3" ht="13">
      <c r="C868" s="64"/>
    </row>
    <row r="869" spans="3:3" ht="13">
      <c r="C869" s="64"/>
    </row>
    <row r="870" spans="3:3" ht="13">
      <c r="C870" s="64"/>
    </row>
    <row r="871" spans="3:3" ht="13">
      <c r="C871" s="64"/>
    </row>
    <row r="872" spans="3:3" ht="13">
      <c r="C872" s="64"/>
    </row>
    <row r="873" spans="3:3" ht="13">
      <c r="C873" s="64"/>
    </row>
    <row r="874" spans="3:3" ht="13">
      <c r="C874" s="64"/>
    </row>
    <row r="875" spans="3:3" ht="13">
      <c r="C875" s="64"/>
    </row>
    <row r="876" spans="3:3" ht="13">
      <c r="C876" s="64"/>
    </row>
    <row r="877" spans="3:3" ht="13">
      <c r="C877" s="64"/>
    </row>
    <row r="878" spans="3:3" ht="13">
      <c r="C878" s="64"/>
    </row>
    <row r="879" spans="3:3" ht="13">
      <c r="C879" s="64"/>
    </row>
    <row r="880" spans="3:3" ht="13">
      <c r="C880" s="64"/>
    </row>
    <row r="881" spans="3:3" ht="13">
      <c r="C881" s="64"/>
    </row>
    <row r="882" spans="3:3" ht="13">
      <c r="C882" s="64"/>
    </row>
    <row r="883" spans="3:3" ht="13">
      <c r="C883" s="64"/>
    </row>
    <row r="884" spans="3:3" ht="13">
      <c r="C884" s="64"/>
    </row>
    <row r="885" spans="3:3" ht="13">
      <c r="C885" s="64"/>
    </row>
    <row r="886" spans="3:3" ht="13">
      <c r="C886" s="64"/>
    </row>
    <row r="887" spans="3:3" ht="13">
      <c r="C887" s="64"/>
    </row>
    <row r="888" spans="3:3" ht="13">
      <c r="C888" s="64"/>
    </row>
    <row r="889" spans="3:3" ht="13">
      <c r="C889" s="64"/>
    </row>
    <row r="890" spans="3:3" ht="13">
      <c r="C890" s="64"/>
    </row>
    <row r="891" spans="3:3" ht="13">
      <c r="C891" s="64"/>
    </row>
    <row r="892" spans="3:3" ht="13">
      <c r="C892" s="64"/>
    </row>
    <row r="893" spans="3:3" ht="13">
      <c r="C893" s="64"/>
    </row>
    <row r="894" spans="3:3" ht="13">
      <c r="C894" s="64"/>
    </row>
    <row r="895" spans="3:3" ht="13">
      <c r="C895" s="64"/>
    </row>
    <row r="896" spans="3:3" ht="13">
      <c r="C896" s="64"/>
    </row>
    <row r="897" spans="3:3" ht="13">
      <c r="C897" s="64"/>
    </row>
    <row r="898" spans="3:3" ht="13">
      <c r="C898" s="64"/>
    </row>
    <row r="899" spans="3:3" ht="13">
      <c r="C899" s="64"/>
    </row>
    <row r="900" spans="3:3" ht="13">
      <c r="C900" s="64"/>
    </row>
    <row r="901" spans="3:3" ht="13">
      <c r="C901" s="64"/>
    </row>
    <row r="902" spans="3:3" ht="13">
      <c r="C902" s="64"/>
    </row>
    <row r="903" spans="3:3" ht="13">
      <c r="C903" s="64"/>
    </row>
    <row r="904" spans="3:3" ht="13">
      <c r="C904" s="64"/>
    </row>
    <row r="905" spans="3:3" ht="13">
      <c r="C905" s="64"/>
    </row>
    <row r="906" spans="3:3" ht="13">
      <c r="C906" s="64"/>
    </row>
    <row r="907" spans="3:3" ht="13">
      <c r="C907" s="64"/>
    </row>
    <row r="908" spans="3:3" ht="13">
      <c r="C908" s="64"/>
    </row>
    <row r="909" spans="3:3" ht="13">
      <c r="C909" s="64"/>
    </row>
    <row r="910" spans="3:3" ht="13">
      <c r="C910" s="64"/>
    </row>
    <row r="911" spans="3:3" ht="13">
      <c r="C911" s="64"/>
    </row>
    <row r="912" spans="3:3" ht="13">
      <c r="C912" s="64"/>
    </row>
    <row r="913" spans="3:3" ht="13">
      <c r="C913" s="64"/>
    </row>
    <row r="914" spans="3:3" ht="13">
      <c r="C914" s="64"/>
    </row>
    <row r="915" spans="3:3" ht="13">
      <c r="C915" s="64"/>
    </row>
    <row r="916" spans="3:3" ht="13">
      <c r="C916" s="64"/>
    </row>
    <row r="917" spans="3:3" ht="13">
      <c r="C917" s="64"/>
    </row>
    <row r="918" spans="3:3" ht="13">
      <c r="C918" s="64"/>
    </row>
    <row r="919" spans="3:3" ht="13">
      <c r="C919" s="64"/>
    </row>
    <row r="920" spans="3:3" ht="13">
      <c r="C920" s="64"/>
    </row>
    <row r="921" spans="3:3" ht="13">
      <c r="C921" s="64"/>
    </row>
    <row r="922" spans="3:3" ht="13">
      <c r="C922" s="64"/>
    </row>
    <row r="923" spans="3:3" ht="13">
      <c r="C923" s="64"/>
    </row>
    <row r="924" spans="3:3" ht="13">
      <c r="C924" s="64"/>
    </row>
    <row r="925" spans="3:3" ht="13">
      <c r="C925" s="64"/>
    </row>
    <row r="926" spans="3:3" ht="13">
      <c r="C926" s="64"/>
    </row>
    <row r="927" spans="3:3" ht="13">
      <c r="C927" s="64"/>
    </row>
    <row r="928" spans="3:3" ht="13">
      <c r="C928" s="64"/>
    </row>
    <row r="929" spans="3:3" ht="13">
      <c r="C929" s="64"/>
    </row>
    <row r="930" spans="3:3" ht="13">
      <c r="C930" s="64"/>
    </row>
    <row r="931" spans="3:3" ht="13">
      <c r="C931" s="64"/>
    </row>
    <row r="932" spans="3:3" ht="13">
      <c r="C932" s="64"/>
    </row>
    <row r="933" spans="3:3" ht="13">
      <c r="C933" s="64"/>
    </row>
    <row r="934" spans="3:3" ht="13">
      <c r="C934" s="64"/>
    </row>
    <row r="935" spans="3:3" ht="13">
      <c r="C935" s="64"/>
    </row>
    <row r="936" spans="3:3" ht="13">
      <c r="C936" s="64"/>
    </row>
    <row r="937" spans="3:3" ht="13">
      <c r="C937" s="64"/>
    </row>
    <row r="938" spans="3:3" ht="13">
      <c r="C938" s="64"/>
    </row>
    <row r="939" spans="3:3" ht="13">
      <c r="C939" s="64"/>
    </row>
    <row r="940" spans="3:3" ht="13">
      <c r="C940" s="64"/>
    </row>
    <row r="941" spans="3:3" ht="13">
      <c r="C941" s="64"/>
    </row>
    <row r="942" spans="3:3" ht="13">
      <c r="C942" s="64"/>
    </row>
    <row r="943" spans="3:3" ht="13">
      <c r="C943" s="64"/>
    </row>
    <row r="944" spans="3:3" ht="13">
      <c r="C944" s="64"/>
    </row>
    <row r="945" spans="3:3" ht="13">
      <c r="C945" s="64"/>
    </row>
    <row r="946" spans="3:3" ht="13">
      <c r="C946" s="64"/>
    </row>
    <row r="947" spans="3:3" ht="13">
      <c r="C947" s="64"/>
    </row>
    <row r="948" spans="3:3" ht="13">
      <c r="C948" s="64"/>
    </row>
    <row r="949" spans="3:3" ht="13">
      <c r="C949" s="64"/>
    </row>
    <row r="950" spans="3:3" ht="13">
      <c r="C950" s="64"/>
    </row>
    <row r="951" spans="3:3" ht="13">
      <c r="C951" s="64"/>
    </row>
    <row r="952" spans="3:3" ht="13">
      <c r="C952" s="64"/>
    </row>
    <row r="953" spans="3:3" ht="13">
      <c r="C953" s="64"/>
    </row>
    <row r="954" spans="3:3" ht="13">
      <c r="C954" s="64"/>
    </row>
    <row r="955" spans="3:3" ht="13">
      <c r="C955" s="64"/>
    </row>
    <row r="956" spans="3:3" ht="13">
      <c r="C956" s="64"/>
    </row>
    <row r="957" spans="3:3" ht="13">
      <c r="C957" s="64"/>
    </row>
    <row r="958" spans="3:3" ht="13">
      <c r="C958" s="64"/>
    </row>
    <row r="959" spans="3:3" ht="13">
      <c r="C959" s="64"/>
    </row>
    <row r="960" spans="3:3" ht="13">
      <c r="C960" s="64"/>
    </row>
    <row r="961" spans="3:3" ht="13">
      <c r="C961" s="64"/>
    </row>
    <row r="962" spans="3:3" ht="13">
      <c r="C962" s="64"/>
    </row>
    <row r="963" spans="3:3" ht="13">
      <c r="C963" s="64"/>
    </row>
    <row r="964" spans="3:3" ht="13">
      <c r="C964" s="64"/>
    </row>
    <row r="965" spans="3:3" ht="13">
      <c r="C965" s="64"/>
    </row>
    <row r="966" spans="3:3" ht="13">
      <c r="C966" s="64"/>
    </row>
    <row r="967" spans="3:3" ht="13">
      <c r="C967" s="64"/>
    </row>
    <row r="968" spans="3:3" ht="13">
      <c r="C968" s="64"/>
    </row>
    <row r="969" spans="3:3" ht="13">
      <c r="C969" s="64"/>
    </row>
    <row r="970" spans="3:3" ht="13">
      <c r="C970" s="64"/>
    </row>
    <row r="971" spans="3:3" ht="13">
      <c r="C971" s="64"/>
    </row>
    <row r="972" spans="3:3" ht="13">
      <c r="C972" s="64"/>
    </row>
    <row r="973" spans="3:3" ht="13">
      <c r="C973" s="64"/>
    </row>
    <row r="974" spans="3:3" ht="13">
      <c r="C974" s="64"/>
    </row>
    <row r="975" spans="3:3" ht="13">
      <c r="C975" s="64"/>
    </row>
    <row r="976" spans="3:3" ht="13">
      <c r="C976" s="64"/>
    </row>
    <row r="977" spans="3:3" ht="13">
      <c r="C977" s="64"/>
    </row>
    <row r="978" spans="3:3" ht="13">
      <c r="C978" s="64"/>
    </row>
    <row r="979" spans="3:3" ht="13">
      <c r="C979" s="64"/>
    </row>
    <row r="980" spans="3:3" ht="13">
      <c r="C980" s="64"/>
    </row>
    <row r="981" spans="3:3" ht="13">
      <c r="C981" s="64"/>
    </row>
    <row r="982" spans="3:3" ht="13">
      <c r="C982" s="64"/>
    </row>
    <row r="983" spans="3:3" ht="13">
      <c r="C983" s="64"/>
    </row>
    <row r="984" spans="3:3" ht="13">
      <c r="C984" s="64"/>
    </row>
    <row r="985" spans="3:3" ht="13">
      <c r="C985" s="64"/>
    </row>
    <row r="986" spans="3:3" ht="13">
      <c r="C986" s="64"/>
    </row>
    <row r="987" spans="3:3" ht="13">
      <c r="C987" s="64"/>
    </row>
    <row r="988" spans="3:3" ht="13">
      <c r="C988" s="64"/>
    </row>
    <row r="989" spans="3:3" ht="13">
      <c r="C989" s="64"/>
    </row>
    <row r="990" spans="3:3" ht="13">
      <c r="C990" s="64"/>
    </row>
    <row r="991" spans="3:3" ht="13">
      <c r="C991" s="64"/>
    </row>
    <row r="992" spans="3:3" ht="13">
      <c r="C992" s="64"/>
    </row>
    <row r="993" spans="3:3" ht="13">
      <c r="C993" s="64"/>
    </row>
    <row r="994" spans="3:3" ht="13">
      <c r="C994" s="64"/>
    </row>
    <row r="995" spans="3:3" ht="13">
      <c r="C995" s="64"/>
    </row>
    <row r="996" spans="3:3" ht="13">
      <c r="C996" s="64"/>
    </row>
    <row r="997" spans="3:3" ht="13">
      <c r="C997" s="64"/>
    </row>
    <row r="998" spans="3:3" ht="13">
      <c r="C998" s="64"/>
    </row>
    <row r="999" spans="3:3" ht="13">
      <c r="C999" s="64"/>
    </row>
    <row r="1000" spans="3:3" ht="13">
      <c r="C1000" s="64"/>
    </row>
    <row r="1001" spans="3:3" ht="13">
      <c r="C1001" s="64"/>
    </row>
    <row r="1002" spans="3:3" ht="13">
      <c r="C1002" s="64"/>
    </row>
    <row r="1003" spans="3:3" ht="13">
      <c r="C1003" s="64"/>
    </row>
    <row r="1004" spans="3:3" ht="13">
      <c r="C1004" s="64"/>
    </row>
    <row r="1005" spans="3:3" ht="13">
      <c r="C1005" s="64"/>
    </row>
    <row r="1006" spans="3:3" ht="13">
      <c r="C1006" s="64"/>
    </row>
    <row r="1007" spans="3:3" ht="13">
      <c r="C1007" s="64"/>
    </row>
    <row r="1008" spans="3:3" ht="13">
      <c r="C1008" s="64"/>
    </row>
    <row r="1009" spans="3:3" ht="13">
      <c r="C1009" s="64"/>
    </row>
    <row r="1010" spans="3:3" ht="13">
      <c r="C1010" s="64"/>
    </row>
    <row r="1011" spans="3:3" ht="13">
      <c r="C1011" s="64"/>
    </row>
    <row r="1012" spans="3:3" ht="13">
      <c r="C1012" s="64"/>
    </row>
    <row r="1013" spans="3:3" ht="13">
      <c r="C1013" s="64"/>
    </row>
    <row r="1014" spans="3:3" ht="13">
      <c r="C1014" s="64"/>
    </row>
    <row r="1015" spans="3:3" ht="13">
      <c r="C1015" s="64"/>
    </row>
    <row r="1016" spans="3:3" ht="13">
      <c r="C1016" s="64"/>
    </row>
    <row r="1017" spans="3:3" ht="13">
      <c r="C1017" s="64"/>
    </row>
    <row r="1018" spans="3:3" ht="13">
      <c r="C1018" s="64"/>
    </row>
    <row r="1019" spans="3:3" ht="13">
      <c r="C1019" s="64"/>
    </row>
    <row r="1020" spans="3:3" ht="13">
      <c r="C1020" s="64"/>
    </row>
    <row r="1021" spans="3:3" ht="13">
      <c r="C1021" s="64"/>
    </row>
    <row r="1022" spans="3:3" ht="13">
      <c r="C1022" s="64"/>
    </row>
    <row r="1023" spans="3:3" ht="13">
      <c r="C1023" s="64"/>
    </row>
    <row r="1024" spans="3:3" ht="13">
      <c r="C1024" s="64"/>
    </row>
    <row r="1025" spans="3:3" ht="13">
      <c r="C1025" s="64"/>
    </row>
    <row r="1026" spans="3:3" ht="13">
      <c r="C1026" s="64"/>
    </row>
    <row r="1027" spans="3:3" ht="13">
      <c r="C1027" s="64"/>
    </row>
    <row r="1028" spans="3:3" ht="13">
      <c r="C1028" s="64"/>
    </row>
    <row r="1029" spans="3:3" ht="13">
      <c r="C1029" s="64"/>
    </row>
    <row r="1030" spans="3:3" ht="13">
      <c r="C1030" s="64"/>
    </row>
    <row r="1031" spans="3:3" ht="13">
      <c r="C1031" s="64"/>
    </row>
    <row r="1032" spans="3:3" ht="13">
      <c r="C1032" s="64"/>
    </row>
    <row r="1033" spans="3:3" ht="13">
      <c r="C1033" s="64"/>
    </row>
    <row r="1034" spans="3:3" ht="13">
      <c r="C1034" s="64"/>
    </row>
    <row r="1035" spans="3:3" ht="13">
      <c r="C1035" s="64"/>
    </row>
    <row r="1036" spans="3:3" ht="13">
      <c r="C1036" s="64"/>
    </row>
    <row r="1037" spans="3:3" ht="13">
      <c r="C1037" s="64"/>
    </row>
    <row r="1038" spans="3:3" ht="13">
      <c r="C1038" s="64"/>
    </row>
    <row r="1039" spans="3:3" ht="13">
      <c r="C1039" s="64"/>
    </row>
    <row r="1040" spans="3:3" ht="13">
      <c r="C1040" s="64"/>
    </row>
    <row r="1041" spans="3:3" ht="13">
      <c r="C1041" s="64"/>
    </row>
    <row r="1042" spans="3:3" ht="13">
      <c r="C1042" s="64"/>
    </row>
    <row r="1043" spans="3:3" ht="13">
      <c r="C1043" s="64"/>
    </row>
    <row r="1044" spans="3:3" ht="13">
      <c r="C1044" s="64"/>
    </row>
    <row r="1045" spans="3:3" ht="13">
      <c r="C1045" s="64"/>
    </row>
    <row r="1046" spans="3:3" ht="13">
      <c r="C1046" s="64"/>
    </row>
    <row r="1047" spans="3:3" ht="13">
      <c r="C1047" s="64"/>
    </row>
    <row r="1048" spans="3:3" ht="13">
      <c r="C1048" s="64"/>
    </row>
    <row r="1049" spans="3:3" ht="13">
      <c r="C1049" s="64"/>
    </row>
    <row r="1050" spans="3:3" ht="13">
      <c r="C1050" s="64"/>
    </row>
    <row r="1051" spans="3:3" ht="13">
      <c r="C1051" s="64"/>
    </row>
    <row r="1052" spans="3:3" ht="13">
      <c r="C1052" s="64"/>
    </row>
    <row r="1053" spans="3:3" ht="13">
      <c r="C1053" s="64"/>
    </row>
    <row r="1054" spans="3:3" ht="13">
      <c r="C1054" s="64"/>
    </row>
    <row r="1055" spans="3:3" ht="13">
      <c r="C1055" s="64"/>
    </row>
    <row r="1056" spans="3:3" ht="13">
      <c r="C1056" s="64"/>
    </row>
    <row r="1057" spans="3:3" ht="13">
      <c r="C1057" s="64"/>
    </row>
    <row r="1058" spans="3:3" ht="13">
      <c r="C1058" s="64"/>
    </row>
    <row r="1059" spans="3:3" ht="13">
      <c r="C1059" s="64"/>
    </row>
    <row r="1060" spans="3:3" ht="13">
      <c r="C1060" s="64"/>
    </row>
    <row r="1061" spans="3:3" ht="13">
      <c r="C1061" s="64"/>
    </row>
    <row r="1062" spans="3:3" ht="13">
      <c r="C1062" s="64"/>
    </row>
    <row r="1063" spans="3:3" ht="13">
      <c r="C1063" s="64"/>
    </row>
    <row r="1064" spans="3:3" ht="13">
      <c r="C1064" s="64"/>
    </row>
    <row r="1065" spans="3:3" ht="13">
      <c r="C1065" s="64"/>
    </row>
    <row r="1066" spans="3:3" ht="13">
      <c r="C1066" s="64"/>
    </row>
    <row r="1067" spans="3:3" ht="13">
      <c r="C1067" s="64"/>
    </row>
    <row r="1068" spans="3:3" ht="13">
      <c r="C1068" s="64"/>
    </row>
    <row r="1069" spans="3:3" ht="13">
      <c r="C1069" s="64"/>
    </row>
    <row r="1070" spans="3:3" ht="13">
      <c r="C1070" s="64"/>
    </row>
    <row r="1071" spans="3:3" ht="13">
      <c r="C1071" s="64"/>
    </row>
    <row r="1072" spans="3:3" ht="13">
      <c r="C1072" s="64"/>
    </row>
    <row r="1073" spans="3:3" ht="13">
      <c r="C1073" s="64"/>
    </row>
    <row r="1074" spans="3:3" ht="13">
      <c r="C1074" s="64"/>
    </row>
    <row r="1075" spans="3:3" ht="13">
      <c r="C1075" s="64"/>
    </row>
    <row r="1076" spans="3:3" ht="13">
      <c r="C1076" s="64"/>
    </row>
    <row r="1077" spans="3:3" ht="13">
      <c r="C1077" s="64"/>
    </row>
    <row r="1078" spans="3:3" ht="13">
      <c r="C1078" s="64"/>
    </row>
    <row r="1079" spans="3:3" ht="13">
      <c r="C1079" s="64"/>
    </row>
    <row r="1080" spans="3:3" ht="13">
      <c r="C1080" s="64"/>
    </row>
    <row r="1081" spans="3:3" ht="13">
      <c r="C1081" s="64"/>
    </row>
    <row r="1082" spans="3:3" ht="13">
      <c r="C1082" s="64"/>
    </row>
    <row r="1083" spans="3:3" ht="13">
      <c r="C1083" s="64"/>
    </row>
    <row r="1084" spans="3:3" ht="13">
      <c r="C1084" s="64"/>
    </row>
    <row r="1085" spans="3:3" ht="13">
      <c r="C1085" s="64"/>
    </row>
    <row r="1086" spans="3:3" ht="13">
      <c r="C1086" s="64"/>
    </row>
    <row r="1087" spans="3:3" ht="13">
      <c r="C1087" s="64"/>
    </row>
    <row r="1088" spans="3:3" ht="13">
      <c r="C1088" s="64"/>
    </row>
    <row r="1089" spans="3:3" ht="13">
      <c r="C1089" s="64"/>
    </row>
    <row r="1090" spans="3:3" ht="13">
      <c r="C1090" s="64"/>
    </row>
    <row r="1091" spans="3:3" ht="13">
      <c r="C1091" s="64"/>
    </row>
    <row r="1092" spans="3:3" ht="13">
      <c r="C1092" s="64"/>
    </row>
    <row r="1093" spans="3:3" ht="13">
      <c r="C1093" s="64"/>
    </row>
    <row r="1094" spans="3:3" ht="13">
      <c r="C1094" s="64"/>
    </row>
    <row r="1095" spans="3:3" ht="13">
      <c r="C1095" s="64"/>
    </row>
    <row r="1096" spans="3:3" ht="13">
      <c r="C1096" s="64"/>
    </row>
    <row r="1097" spans="3:3" ht="13">
      <c r="C1097" s="64"/>
    </row>
    <row r="1098" spans="3:3" ht="13">
      <c r="C1098" s="64"/>
    </row>
    <row r="1099" spans="3:3" ht="13">
      <c r="C1099" s="64"/>
    </row>
    <row r="1100" spans="3:3" ht="13">
      <c r="C1100" s="64"/>
    </row>
    <row r="1101" spans="3:3" ht="13">
      <c r="C1101" s="64"/>
    </row>
    <row r="1102" spans="3:3" ht="13">
      <c r="C1102" s="64"/>
    </row>
    <row r="1103" spans="3:3" ht="13">
      <c r="C1103" s="64"/>
    </row>
    <row r="1104" spans="3:3" ht="13">
      <c r="C1104" s="64"/>
    </row>
    <row r="1105" spans="3:3" ht="13">
      <c r="C1105" s="64"/>
    </row>
    <row r="1106" spans="3:3" ht="13">
      <c r="C1106" s="64"/>
    </row>
    <row r="1107" spans="3:3" ht="13">
      <c r="C1107" s="64"/>
    </row>
    <row r="1108" spans="3:3" ht="13">
      <c r="C1108" s="64"/>
    </row>
    <row r="1109" spans="3:3" ht="13">
      <c r="C1109" s="64"/>
    </row>
    <row r="1110" spans="3:3" ht="13">
      <c r="C1110" s="64"/>
    </row>
    <row r="1111" spans="3:3" ht="13">
      <c r="C1111" s="64"/>
    </row>
    <row r="1112" spans="3:3" ht="13">
      <c r="C1112" s="64"/>
    </row>
    <row r="1113" spans="3:3" ht="13">
      <c r="C1113" s="64"/>
    </row>
    <row r="1114" spans="3:3" ht="13">
      <c r="C1114" s="64"/>
    </row>
    <row r="1115" spans="3:3" ht="13">
      <c r="C1115" s="64"/>
    </row>
    <row r="1116" spans="3:3" ht="13">
      <c r="C1116" s="64"/>
    </row>
    <row r="1117" spans="3:3" ht="13">
      <c r="C1117" s="64"/>
    </row>
    <row r="1118" spans="3:3" ht="13">
      <c r="C1118" s="64"/>
    </row>
    <row r="1119" spans="3:3" ht="13">
      <c r="C1119" s="64"/>
    </row>
    <row r="1120" spans="3:3" ht="13">
      <c r="C1120" s="64"/>
    </row>
    <row r="1121" spans="3:3" ht="13">
      <c r="C1121" s="64"/>
    </row>
    <row r="1122" spans="3:3" ht="13">
      <c r="C1122" s="64"/>
    </row>
    <row r="1123" spans="3:3" ht="13">
      <c r="C1123" s="64"/>
    </row>
    <row r="1124" spans="3:3" ht="13">
      <c r="C1124" s="64"/>
    </row>
    <row r="1125" spans="3:3" ht="13">
      <c r="C1125" s="64"/>
    </row>
    <row r="1126" spans="3:3" ht="13">
      <c r="C1126" s="64"/>
    </row>
    <row r="1127" spans="3:3" ht="13">
      <c r="C1127" s="64"/>
    </row>
    <row r="1128" spans="3:3" ht="13">
      <c r="C1128" s="64"/>
    </row>
    <row r="1129" spans="3:3" ht="13">
      <c r="C1129" s="64"/>
    </row>
    <row r="1130" spans="3:3" ht="13">
      <c r="C1130" s="64"/>
    </row>
    <row r="1131" spans="3:3" ht="13">
      <c r="C1131" s="64"/>
    </row>
    <row r="1132" spans="3:3" ht="13">
      <c r="C1132" s="64"/>
    </row>
    <row r="1133" spans="3:3" ht="13">
      <c r="C1133" s="64"/>
    </row>
    <row r="1134" spans="3:3" ht="13">
      <c r="C1134" s="64"/>
    </row>
    <row r="1135" spans="3:3" ht="13">
      <c r="C1135" s="64"/>
    </row>
    <row r="1136" spans="3:3" ht="13">
      <c r="C1136" s="64"/>
    </row>
    <row r="1137" spans="3:3" ht="13">
      <c r="C1137" s="64"/>
    </row>
    <row r="1138" spans="3:3" ht="13">
      <c r="C1138" s="64"/>
    </row>
    <row r="1139" spans="3:3" ht="13">
      <c r="C1139" s="64"/>
    </row>
    <row r="1140" spans="3:3" ht="13">
      <c r="C1140" s="64"/>
    </row>
    <row r="1141" spans="3:3" ht="13">
      <c r="C1141" s="64"/>
    </row>
    <row r="1142" spans="3:3" ht="13">
      <c r="C1142" s="64"/>
    </row>
    <row r="1143" spans="3:3" ht="13">
      <c r="C1143" s="64"/>
    </row>
    <row r="1144" spans="3:3" ht="13">
      <c r="C1144" s="64"/>
    </row>
    <row r="1145" spans="3:3" ht="13">
      <c r="C1145" s="64"/>
    </row>
    <row r="1146" spans="3:3" ht="13">
      <c r="C1146" s="64"/>
    </row>
    <row r="1147" spans="3:3" ht="13">
      <c r="C1147" s="64"/>
    </row>
    <row r="1148" spans="3:3" ht="13">
      <c r="C1148" s="64"/>
    </row>
    <row r="1149" spans="3:3" ht="13">
      <c r="C1149" s="64"/>
    </row>
    <row r="1150" spans="3:3" ht="13">
      <c r="C1150" s="64"/>
    </row>
    <row r="1151" spans="3:3" ht="13">
      <c r="C1151" s="64"/>
    </row>
    <row r="1152" spans="3:3" ht="13">
      <c r="C1152" s="64"/>
    </row>
    <row r="1153" spans="3:3" ht="13">
      <c r="C1153" s="64"/>
    </row>
    <row r="1154" spans="3:3" ht="13">
      <c r="C1154" s="64"/>
    </row>
    <row r="1155" spans="3:3" ht="13">
      <c r="C1155" s="64"/>
    </row>
    <row r="1156" spans="3:3" ht="13">
      <c r="C1156" s="64"/>
    </row>
    <row r="1157" spans="3:3" ht="13">
      <c r="C1157" s="64"/>
    </row>
    <row r="1158" spans="3:3" ht="13">
      <c r="C1158" s="64"/>
    </row>
    <row r="1159" spans="3:3" ht="13">
      <c r="C1159" s="64"/>
    </row>
    <row r="1160" spans="3:3" ht="13">
      <c r="C1160" s="64"/>
    </row>
    <row r="1161" spans="3:3" ht="13">
      <c r="C1161" s="64"/>
    </row>
    <row r="1162" spans="3:3" ht="13">
      <c r="C1162" s="64"/>
    </row>
    <row r="1163" spans="3:3" ht="13">
      <c r="C1163" s="64"/>
    </row>
    <row r="1164" spans="3:3" ht="13">
      <c r="C1164" s="64"/>
    </row>
    <row r="1165" spans="3:3" ht="13">
      <c r="C1165" s="64"/>
    </row>
    <row r="1166" spans="3:3" ht="13">
      <c r="C1166" s="64"/>
    </row>
    <row r="1167" spans="3:3" ht="13">
      <c r="C1167" s="64"/>
    </row>
    <row r="1168" spans="3:3" ht="13">
      <c r="C1168" s="64"/>
    </row>
    <row r="1169" spans="3:3" ht="13">
      <c r="C1169" s="64"/>
    </row>
    <row r="1170" spans="3:3" ht="13">
      <c r="C1170" s="64"/>
    </row>
    <row r="1171" spans="3:3" ht="13">
      <c r="C1171" s="64"/>
    </row>
    <row r="1172" spans="3:3" ht="13">
      <c r="C1172" s="64"/>
    </row>
    <row r="1173" spans="3:3" ht="13">
      <c r="C1173" s="64"/>
    </row>
    <row r="1174" spans="3:3" ht="13">
      <c r="C1174" s="64"/>
    </row>
    <row r="1175" spans="3:3" ht="13">
      <c r="C1175" s="64"/>
    </row>
    <row r="1176" spans="3:3" ht="13">
      <c r="C1176" s="64"/>
    </row>
    <row r="1177" spans="3:3" ht="13">
      <c r="C1177" s="64"/>
    </row>
    <row r="1178" spans="3:3" ht="13">
      <c r="C1178" s="64"/>
    </row>
    <row r="1179" spans="3:3" ht="13">
      <c r="C1179" s="64"/>
    </row>
    <row r="1180" spans="3:3" ht="13">
      <c r="C1180" s="64"/>
    </row>
    <row r="1181" spans="3:3" ht="13">
      <c r="C1181" s="64"/>
    </row>
    <row r="1182" spans="3:3" ht="13">
      <c r="C1182" s="64"/>
    </row>
    <row r="1183" spans="3:3" ht="13">
      <c r="C1183" s="64"/>
    </row>
    <row r="1184" spans="3:3" ht="13">
      <c r="C1184" s="64"/>
    </row>
    <row r="1185" spans="3:3" ht="13">
      <c r="C1185" s="64"/>
    </row>
    <row r="1186" spans="3:3" ht="13">
      <c r="C1186" s="64"/>
    </row>
    <row r="1187" spans="3:3" ht="13">
      <c r="C1187" s="64"/>
    </row>
    <row r="1188" spans="3:3" ht="13">
      <c r="C1188" s="64"/>
    </row>
    <row r="1189" spans="3:3" ht="13">
      <c r="C1189" s="64"/>
    </row>
    <row r="1190" spans="3:3" ht="13">
      <c r="C1190" s="64"/>
    </row>
    <row r="1191" spans="3:3" ht="13">
      <c r="C1191" s="64"/>
    </row>
    <row r="1192" spans="3:3" ht="13">
      <c r="C1192" s="64"/>
    </row>
    <row r="1193" spans="3:3" ht="13">
      <c r="C1193" s="64"/>
    </row>
    <row r="1194" spans="3:3" ht="13">
      <c r="C1194" s="64"/>
    </row>
    <row r="1195" spans="3:3" ht="13">
      <c r="C1195" s="64"/>
    </row>
    <row r="1196" spans="3:3" ht="13">
      <c r="C1196" s="64"/>
    </row>
    <row r="1197" spans="3:3" ht="13">
      <c r="C1197" s="64"/>
    </row>
    <row r="1198" spans="3:3" ht="13">
      <c r="C1198" s="64"/>
    </row>
    <row r="1199" spans="3:3" ht="13">
      <c r="C1199" s="64"/>
    </row>
    <row r="1200" spans="3:3" ht="13">
      <c r="C1200" s="64"/>
    </row>
    <row r="1201" spans="3:3" ht="13">
      <c r="C1201" s="64"/>
    </row>
    <row r="1202" spans="3:3" ht="13">
      <c r="C1202" s="64"/>
    </row>
    <row r="1203" spans="3:3" ht="13">
      <c r="C1203" s="64"/>
    </row>
    <row r="1204" spans="3:3" ht="13">
      <c r="C1204" s="64"/>
    </row>
    <row r="1205" spans="3:3" ht="13">
      <c r="C1205" s="64"/>
    </row>
    <row r="1206" spans="3:3" ht="13">
      <c r="C1206" s="64"/>
    </row>
    <row r="1207" spans="3:3" ht="13">
      <c r="C1207" s="64"/>
    </row>
    <row r="1208" spans="3:3" ht="13">
      <c r="C1208" s="64"/>
    </row>
    <row r="1209" spans="3:3" ht="13">
      <c r="C1209" s="64"/>
    </row>
    <row r="1210" spans="3:3" ht="13">
      <c r="C1210" s="64"/>
    </row>
    <row r="1211" spans="3:3" ht="13">
      <c r="C1211" s="64"/>
    </row>
    <row r="1212" spans="3:3" ht="13">
      <c r="C1212" s="64"/>
    </row>
    <row r="1213" spans="3:3" ht="13">
      <c r="C1213" s="64"/>
    </row>
    <row r="1214" spans="3:3" ht="13">
      <c r="C1214" s="64"/>
    </row>
    <row r="1215" spans="3:3" ht="13">
      <c r="C1215" s="64"/>
    </row>
    <row r="1216" spans="3:3" ht="13">
      <c r="C1216" s="64"/>
    </row>
    <row r="1217" spans="3:3" ht="13">
      <c r="C1217" s="64"/>
    </row>
    <row r="1218" spans="3:3" ht="13">
      <c r="C1218" s="64"/>
    </row>
    <row r="1219" spans="3:3" ht="13">
      <c r="C1219" s="64"/>
    </row>
    <row r="1220" spans="3:3" ht="13">
      <c r="C1220" s="64"/>
    </row>
    <row r="1221" spans="3:3" ht="13">
      <c r="C1221" s="64"/>
    </row>
    <row r="1222" spans="3:3" ht="13">
      <c r="C1222" s="64"/>
    </row>
    <row r="1223" spans="3:3" ht="13">
      <c r="C1223" s="64"/>
    </row>
    <row r="1224" spans="3:3" ht="13">
      <c r="C1224" s="64"/>
    </row>
    <row r="1225" spans="3:3" ht="13">
      <c r="C1225" s="64"/>
    </row>
    <row r="1226" spans="3:3" ht="13">
      <c r="C1226" s="64"/>
    </row>
    <row r="1227" spans="3:3" ht="13">
      <c r="C1227" s="64"/>
    </row>
    <row r="1228" spans="3:3" ht="13">
      <c r="C1228" s="64"/>
    </row>
    <row r="1229" spans="3:3" ht="13">
      <c r="C1229" s="64"/>
    </row>
    <row r="1230" spans="3:3" ht="13">
      <c r="C1230" s="64"/>
    </row>
    <row r="1231" spans="3:3" ht="13">
      <c r="C1231" s="64"/>
    </row>
    <row r="1232" spans="3:3" ht="13">
      <c r="C1232" s="64"/>
    </row>
    <row r="1233" spans="3:3" ht="13">
      <c r="C1233" s="64"/>
    </row>
    <row r="1234" spans="3:3" ht="13">
      <c r="C1234" s="64"/>
    </row>
    <row r="1235" spans="3:3" ht="13">
      <c r="C1235" s="64"/>
    </row>
    <row r="1236" spans="3:3" ht="13">
      <c r="C1236" s="64"/>
    </row>
    <row r="1237" spans="3:3" ht="13">
      <c r="C1237" s="64"/>
    </row>
    <row r="1238" spans="3:3" ht="13">
      <c r="C1238" s="64"/>
    </row>
    <row r="1239" spans="3:3" ht="13">
      <c r="C1239" s="64"/>
    </row>
    <row r="1240" spans="3:3" ht="13">
      <c r="C1240" s="64"/>
    </row>
    <row r="1241" spans="3:3" ht="13">
      <c r="C1241" s="64"/>
    </row>
    <row r="1242" spans="3:3" ht="13">
      <c r="C1242" s="64"/>
    </row>
    <row r="1243" spans="3:3" ht="13">
      <c r="C1243" s="64"/>
    </row>
    <row r="1244" spans="3:3" ht="13">
      <c r="C1244" s="64"/>
    </row>
    <row r="1245" spans="3:3" ht="13">
      <c r="C1245" s="64"/>
    </row>
    <row r="1246" spans="3:3" ht="13">
      <c r="C1246" s="64"/>
    </row>
    <row r="1247" spans="3:3" ht="13">
      <c r="C1247" s="64"/>
    </row>
    <row r="1248" spans="3:3" ht="13">
      <c r="C1248" s="64"/>
    </row>
    <row r="1249" spans="3:3" ht="13">
      <c r="C1249" s="64"/>
    </row>
    <row r="1250" spans="3:3" ht="13">
      <c r="C1250" s="64"/>
    </row>
    <row r="1251" spans="3:3" ht="13">
      <c r="C1251" s="64"/>
    </row>
    <row r="1252" spans="3:3" ht="13">
      <c r="C1252" s="64"/>
    </row>
    <row r="1253" spans="3:3" ht="13">
      <c r="C1253" s="64"/>
    </row>
    <row r="1254" spans="3:3" ht="13">
      <c r="C1254" s="64"/>
    </row>
    <row r="1255" spans="3:3" ht="13">
      <c r="C1255" s="64"/>
    </row>
    <row r="1256" spans="3:3" ht="13">
      <c r="C1256" s="64"/>
    </row>
    <row r="1257" spans="3:3" ht="13">
      <c r="C1257" s="64"/>
    </row>
    <row r="1258" spans="3:3" ht="13">
      <c r="C1258" s="64"/>
    </row>
    <row r="1259" spans="3:3" ht="13">
      <c r="C1259" s="64"/>
    </row>
    <row r="1260" spans="3:3" ht="13">
      <c r="C1260" s="64"/>
    </row>
    <row r="1261" spans="3:3" ht="13">
      <c r="C1261" s="64"/>
    </row>
    <row r="1262" spans="3:3" ht="13">
      <c r="C1262" s="64"/>
    </row>
    <row r="1263" spans="3:3" ht="13">
      <c r="C1263" s="64"/>
    </row>
    <row r="1264" spans="3:3" ht="13">
      <c r="C1264" s="64"/>
    </row>
    <row r="1265" spans="3:3" ht="13">
      <c r="C1265" s="64"/>
    </row>
    <row r="1266" spans="3:3" ht="13">
      <c r="C1266" s="64"/>
    </row>
    <row r="1267" spans="3:3" ht="13">
      <c r="C1267" s="64"/>
    </row>
    <row r="1268" spans="3:3" ht="13">
      <c r="C1268" s="64"/>
    </row>
  </sheetData>
  <autoFilter ref="A1:C9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338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2.6640625" defaultRowHeight="15.75" customHeight="1"/>
  <cols>
    <col min="1" max="1" width="4.83203125" customWidth="1"/>
    <col min="6" max="6" width="30" customWidth="1"/>
    <col min="7" max="7" width="27.83203125" customWidth="1"/>
    <col min="8" max="8" width="12.6640625" customWidth="1"/>
    <col min="9" max="9" width="14.83203125" customWidth="1"/>
    <col min="10" max="10" width="17.1640625" customWidth="1"/>
    <col min="11" max="11" width="6.83203125" customWidth="1"/>
    <col min="12" max="12" width="13.83203125" customWidth="1"/>
    <col min="13" max="13" width="12.83203125" customWidth="1"/>
    <col min="14" max="14" width="20.1640625" customWidth="1"/>
    <col min="15" max="15" width="4.1640625" customWidth="1"/>
    <col min="16" max="16" width="13.5" customWidth="1"/>
    <col min="19" max="27" width="12.6640625" hidden="1"/>
  </cols>
  <sheetData>
    <row r="1" spans="1:27" ht="15" hidden="1">
      <c r="A1" s="65"/>
      <c r="B1" s="65" t="s">
        <v>1437</v>
      </c>
      <c r="C1" s="66"/>
      <c r="D1" s="255" t="s">
        <v>1438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2"/>
    </row>
    <row r="2" spans="1:27" ht="15" hidden="1">
      <c r="A2" s="65"/>
      <c r="B2" s="65"/>
      <c r="C2" s="67"/>
      <c r="D2" s="256" t="s">
        <v>1439</v>
      </c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"/>
    </row>
    <row r="3" spans="1:27" ht="16" hidden="1">
      <c r="A3" s="68"/>
      <c r="B3" s="68"/>
      <c r="C3" s="69"/>
      <c r="D3" s="257" t="s">
        <v>1438</v>
      </c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71"/>
      <c r="Q3" s="71"/>
      <c r="R3" s="22"/>
    </row>
    <row r="4" spans="1:27" ht="15" hidden="1">
      <c r="A4" s="65"/>
      <c r="B4" s="65"/>
      <c r="C4" s="72"/>
      <c r="D4" s="258">
        <v>46141</v>
      </c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73"/>
      <c r="Q4" s="259" t="s">
        <v>1440</v>
      </c>
      <c r="R4" s="22"/>
    </row>
    <row r="5" spans="1:27" ht="16" hidden="1">
      <c r="A5" s="65"/>
      <c r="B5" s="65" t="s">
        <v>1437</v>
      </c>
      <c r="C5" s="72"/>
      <c r="D5" s="74" t="s">
        <v>1441</v>
      </c>
      <c r="E5" s="252"/>
      <c r="F5" s="253"/>
      <c r="G5" s="75"/>
      <c r="H5" s="75"/>
      <c r="I5" s="71"/>
      <c r="J5" s="76" t="s">
        <v>1442</v>
      </c>
      <c r="K5" s="257"/>
      <c r="L5" s="253"/>
      <c r="M5" s="253"/>
      <c r="N5" s="253"/>
      <c r="O5" s="70"/>
      <c r="P5" s="71"/>
      <c r="Q5" s="260"/>
      <c r="R5" s="22"/>
    </row>
    <row r="6" spans="1:27" ht="16" hidden="1">
      <c r="A6" s="77"/>
      <c r="B6" s="78"/>
      <c r="C6" s="79"/>
      <c r="D6" s="261"/>
      <c r="E6" s="262"/>
      <c r="F6" s="80"/>
      <c r="G6" s="81"/>
      <c r="H6" s="81"/>
      <c r="I6" s="82"/>
      <c r="J6" s="82"/>
      <c r="K6" s="83" t="s">
        <v>1443</v>
      </c>
      <c r="L6" s="84"/>
      <c r="M6" s="85"/>
      <c r="N6" s="83"/>
      <c r="O6" s="83"/>
      <c r="P6" s="86" t="e">
        <v>#N/A</v>
      </c>
      <c r="Q6" s="87"/>
      <c r="R6" s="22"/>
    </row>
    <row r="7" spans="1:27" ht="15">
      <c r="A7" s="88" t="s">
        <v>1444</v>
      </c>
      <c r="B7" s="89" t="s">
        <v>1445</v>
      </c>
      <c r="C7" s="90"/>
      <c r="D7" s="91" t="s">
        <v>1446</v>
      </c>
      <c r="E7" s="90" t="s">
        <v>1447</v>
      </c>
      <c r="F7" s="90" t="s">
        <v>1448</v>
      </c>
      <c r="G7" s="92"/>
      <c r="H7" s="92" t="s">
        <v>1449</v>
      </c>
      <c r="I7" s="89" t="s">
        <v>1449</v>
      </c>
      <c r="J7" s="89" t="s">
        <v>1450</v>
      </c>
      <c r="K7" s="93" t="s">
        <v>1451</v>
      </c>
      <c r="L7" s="94" t="s">
        <v>1452</v>
      </c>
      <c r="M7" s="95" t="s">
        <v>1453</v>
      </c>
      <c r="N7" s="89" t="s">
        <v>1450</v>
      </c>
      <c r="O7" s="89" t="s">
        <v>1454</v>
      </c>
      <c r="P7" s="89" t="s">
        <v>1455</v>
      </c>
      <c r="Q7" s="89" t="s">
        <v>1456</v>
      </c>
      <c r="R7" s="96"/>
    </row>
    <row r="8" spans="1:27" ht="14">
      <c r="A8" s="97">
        <v>1</v>
      </c>
      <c r="B8" s="98" t="s">
        <v>1457</v>
      </c>
      <c r="C8" s="99" t="s">
        <v>4</v>
      </c>
      <c r="D8" s="100">
        <v>46174</v>
      </c>
      <c r="E8" s="99" t="str">
        <f>VLOOKUP($C8,xe!$A:$B,2,0)</f>
        <v>50H-55116</v>
      </c>
      <c r="F8" s="101" t="str">
        <f>VLOOKUP($B8,ma!$A:$B,2,0)</f>
        <v>E MART P.V.TRỊ</v>
      </c>
      <c r="G8" s="102" t="s">
        <v>1458</v>
      </c>
      <c r="H8" s="103" t="s">
        <v>1459</v>
      </c>
      <c r="I8" s="104"/>
      <c r="J8" s="105" t="s">
        <v>119</v>
      </c>
      <c r="K8" s="106">
        <v>1.2</v>
      </c>
      <c r="L8" s="107">
        <f t="shared" ref="L8:L10" si="0">K8*100000</f>
        <v>120000</v>
      </c>
      <c r="M8" s="104"/>
      <c r="N8" s="101"/>
      <c r="O8" s="101">
        <v>1</v>
      </c>
      <c r="P8" s="104">
        <f>VLOOKUP($B8,ma!$A:$C,3,0)</f>
        <v>800000</v>
      </c>
      <c r="Q8" s="108">
        <v>880000</v>
      </c>
      <c r="R8" s="109">
        <v>0.1</v>
      </c>
      <c r="S8" s="110"/>
      <c r="T8" s="110"/>
      <c r="U8" s="110"/>
      <c r="V8" s="110"/>
      <c r="W8" s="110"/>
      <c r="X8" s="110"/>
      <c r="Y8" s="110"/>
      <c r="Z8" s="110"/>
      <c r="AA8" s="110"/>
    </row>
    <row r="9" spans="1:27" ht="14">
      <c r="A9" s="97">
        <f t="shared" ref="A9:A39" si="1">A8+1</f>
        <v>2</v>
      </c>
      <c r="B9" s="98" t="s">
        <v>1457</v>
      </c>
      <c r="C9" s="99" t="s">
        <v>10</v>
      </c>
      <c r="D9" s="100">
        <v>46174</v>
      </c>
      <c r="E9" s="99" t="str">
        <f>VLOOKUP($C9,xe!$A:$B,2,0)</f>
        <v>50H-50999</v>
      </c>
      <c r="F9" s="101" t="str">
        <f>VLOOKUP($B9,ma!$A:$B,2,0)</f>
        <v>E MART P.V.TRỊ</v>
      </c>
      <c r="G9" s="102" t="s">
        <v>1460</v>
      </c>
      <c r="H9" s="103" t="s">
        <v>1459</v>
      </c>
      <c r="I9" s="104"/>
      <c r="J9" s="105" t="s">
        <v>119</v>
      </c>
      <c r="K9" s="106">
        <v>1.2</v>
      </c>
      <c r="L9" s="107">
        <f t="shared" si="0"/>
        <v>120000</v>
      </c>
      <c r="M9" s="104"/>
      <c r="N9" s="101"/>
      <c r="O9" s="101">
        <v>1</v>
      </c>
      <c r="P9" s="104">
        <f>VLOOKUP($B9,ma!$A:$C,3,0)</f>
        <v>800000</v>
      </c>
      <c r="Q9" s="108">
        <v>880000</v>
      </c>
      <c r="R9" s="109">
        <v>0.1</v>
      </c>
      <c r="S9" s="110"/>
      <c r="T9" s="110"/>
      <c r="U9" s="110"/>
      <c r="V9" s="110"/>
      <c r="W9" s="110"/>
      <c r="X9" s="110"/>
      <c r="Y9" s="110"/>
      <c r="Z9" s="110"/>
      <c r="AA9" s="110"/>
    </row>
    <row r="10" spans="1:27" ht="14">
      <c r="A10" s="97">
        <f t="shared" si="1"/>
        <v>3</v>
      </c>
      <c r="B10" s="98" t="s">
        <v>1457</v>
      </c>
      <c r="C10" s="99" t="s">
        <v>20</v>
      </c>
      <c r="D10" s="100">
        <v>46174</v>
      </c>
      <c r="E10" s="99" t="str">
        <f>VLOOKUP($C10,xe!$A:$B,2,0)</f>
        <v>50H-64470</v>
      </c>
      <c r="F10" s="101" t="str">
        <f>VLOOKUP($B10,ma!$A:$B,2,0)</f>
        <v>E MART P.V.TRỊ</v>
      </c>
      <c r="G10" s="102" t="s">
        <v>1461</v>
      </c>
      <c r="H10" s="103" t="s">
        <v>1459</v>
      </c>
      <c r="I10" s="104"/>
      <c r="J10" s="105" t="s">
        <v>119</v>
      </c>
      <c r="K10" s="106">
        <v>1.2</v>
      </c>
      <c r="L10" s="107">
        <f t="shared" si="0"/>
        <v>120000</v>
      </c>
      <c r="M10" s="104"/>
      <c r="N10" s="101"/>
      <c r="O10" s="101">
        <v>1</v>
      </c>
      <c r="P10" s="104">
        <f>VLOOKUP($B10,ma!$A:$C,3,0)</f>
        <v>800000</v>
      </c>
      <c r="Q10" s="108">
        <v>880000</v>
      </c>
      <c r="R10" s="109">
        <v>0.1</v>
      </c>
      <c r="S10" s="111"/>
      <c r="T10" s="111"/>
      <c r="U10" s="111"/>
      <c r="V10" s="111"/>
      <c r="W10" s="111"/>
      <c r="X10" s="111"/>
      <c r="Y10" s="111"/>
      <c r="Z10" s="111"/>
      <c r="AA10" s="111"/>
    </row>
    <row r="11" spans="1:27" ht="14">
      <c r="A11" s="97">
        <f t="shared" si="1"/>
        <v>4</v>
      </c>
      <c r="B11" s="98" t="s">
        <v>1462</v>
      </c>
      <c r="C11" s="99" t="s">
        <v>14</v>
      </c>
      <c r="D11" s="100">
        <v>46174</v>
      </c>
      <c r="E11" s="99" t="str">
        <f>VLOOKUP($C11,xe!$A:$B,2,0)</f>
        <v>51H -88294</v>
      </c>
      <c r="F11" s="101" t="str">
        <f>VLOOKUP($B11,ma!$A:$B,2,0)</f>
        <v>KFC GÒ VẤP ( K BX )</v>
      </c>
      <c r="G11" s="102" t="s">
        <v>1463</v>
      </c>
      <c r="H11" s="103" t="s">
        <v>1459</v>
      </c>
      <c r="I11" s="104"/>
      <c r="J11" s="105" t="s">
        <v>465</v>
      </c>
      <c r="K11" s="112">
        <v>2</v>
      </c>
      <c r="L11" s="113">
        <v>150000</v>
      </c>
      <c r="M11" s="104"/>
      <c r="N11" s="101"/>
      <c r="O11" s="101">
        <v>1</v>
      </c>
      <c r="P11" s="104">
        <f>VLOOKUP($B11,ma!$A:$C,3,0)</f>
        <v>800000</v>
      </c>
      <c r="Q11" s="108">
        <v>880000</v>
      </c>
      <c r="R11" s="109">
        <v>0.1</v>
      </c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7" ht="14">
      <c r="A12" s="97">
        <f t="shared" si="1"/>
        <v>5</v>
      </c>
      <c r="B12" s="98" t="s">
        <v>1462</v>
      </c>
      <c r="C12" s="99" t="s">
        <v>6</v>
      </c>
      <c r="D12" s="100">
        <v>46174</v>
      </c>
      <c r="E12" s="99" t="str">
        <f>VLOOKUP($C12,xe!$A:$B,2,0)</f>
        <v>50H-69501</v>
      </c>
      <c r="F12" s="101" t="str">
        <f>VLOOKUP($B12,ma!$A:$B,2,0)</f>
        <v>KFC GÒ VẤP ( K BX )</v>
      </c>
      <c r="G12" s="102" t="s">
        <v>1464</v>
      </c>
      <c r="H12" s="103" t="s">
        <v>1459</v>
      </c>
      <c r="I12" s="104"/>
      <c r="J12" s="105" t="s">
        <v>465</v>
      </c>
      <c r="K12" s="112">
        <v>2</v>
      </c>
      <c r="L12" s="113">
        <v>150000</v>
      </c>
      <c r="M12" s="104"/>
      <c r="N12" s="101"/>
      <c r="O12" s="101">
        <v>1</v>
      </c>
      <c r="P12" s="104">
        <f>VLOOKUP($B12,ma!$A:$C,3,0)</f>
        <v>800000</v>
      </c>
      <c r="Q12" s="108">
        <v>880000</v>
      </c>
      <c r="R12" s="109">
        <v>0.1</v>
      </c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7" ht="14">
      <c r="A13" s="97">
        <f t="shared" si="1"/>
        <v>6</v>
      </c>
      <c r="B13" s="98" t="s">
        <v>1462</v>
      </c>
      <c r="C13" s="99" t="s">
        <v>8</v>
      </c>
      <c r="D13" s="100">
        <v>46174</v>
      </c>
      <c r="E13" s="99" t="str">
        <f>VLOOKUP($C13,xe!$A:$B,2,0)</f>
        <v>50H-64316</v>
      </c>
      <c r="F13" s="101" t="str">
        <f>VLOOKUP($B13,ma!$A:$B,2,0)</f>
        <v>KFC GÒ VẤP ( K BX )</v>
      </c>
      <c r="G13" s="102" t="s">
        <v>1465</v>
      </c>
      <c r="H13" s="103" t="s">
        <v>1459</v>
      </c>
      <c r="I13" s="104"/>
      <c r="J13" s="105" t="s">
        <v>465</v>
      </c>
      <c r="K13" s="112">
        <v>2</v>
      </c>
      <c r="L13" s="113">
        <v>150000</v>
      </c>
      <c r="M13" s="104"/>
      <c r="N13" s="101"/>
      <c r="O13" s="101">
        <v>1</v>
      </c>
      <c r="P13" s="104">
        <f>VLOOKUP($B13,ma!$A:$C,3,0)</f>
        <v>800000</v>
      </c>
      <c r="Q13" s="108">
        <v>880000</v>
      </c>
      <c r="R13" s="109">
        <v>0.1</v>
      </c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7" ht="14">
      <c r="A14" s="97">
        <f t="shared" si="1"/>
        <v>7</v>
      </c>
      <c r="B14" s="98" t="s">
        <v>1462</v>
      </c>
      <c r="C14" s="99" t="s">
        <v>28</v>
      </c>
      <c r="D14" s="100">
        <v>46174</v>
      </c>
      <c r="E14" s="99" t="str">
        <f>VLOOKUP($C14,xe!$A:$B,2,0)</f>
        <v>50H-54580</v>
      </c>
      <c r="F14" s="101" t="str">
        <f>VLOOKUP($B14,ma!$A:$B,2,0)</f>
        <v>KFC GÒ VẤP ( K BX )</v>
      </c>
      <c r="G14" s="102" t="s">
        <v>1466</v>
      </c>
      <c r="H14" s="103" t="s">
        <v>1459</v>
      </c>
      <c r="I14" s="104"/>
      <c r="J14" s="105" t="s">
        <v>465</v>
      </c>
      <c r="K14" s="112">
        <v>2</v>
      </c>
      <c r="L14" s="113">
        <v>150000</v>
      </c>
      <c r="M14" s="104"/>
      <c r="N14" s="101"/>
      <c r="O14" s="101">
        <v>1</v>
      </c>
      <c r="P14" s="104">
        <f>VLOOKUP($B14,ma!$A:$C,3,0)</f>
        <v>800000</v>
      </c>
      <c r="Q14" s="108">
        <v>880000</v>
      </c>
      <c r="R14" s="109">
        <v>0.1</v>
      </c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7" ht="14">
      <c r="A15" s="97">
        <f t="shared" si="1"/>
        <v>8</v>
      </c>
      <c r="B15" s="98" t="s">
        <v>1462</v>
      </c>
      <c r="C15" s="99" t="s">
        <v>22</v>
      </c>
      <c r="D15" s="100">
        <v>46174</v>
      </c>
      <c r="E15" s="99" t="str">
        <f>VLOOKUP($C15,xe!$A:$B,2,0)</f>
        <v>50H-66445</v>
      </c>
      <c r="F15" s="101" t="str">
        <f>VLOOKUP($B15,ma!$A:$B,2,0)</f>
        <v>KFC GÒ VẤP ( K BX )</v>
      </c>
      <c r="G15" s="102" t="s">
        <v>1467</v>
      </c>
      <c r="H15" s="103" t="s">
        <v>1459</v>
      </c>
      <c r="I15" s="104"/>
      <c r="J15" s="105" t="s">
        <v>465</v>
      </c>
      <c r="K15" s="112">
        <v>2</v>
      </c>
      <c r="L15" s="113">
        <v>150000</v>
      </c>
      <c r="M15" s="104"/>
      <c r="N15" s="101"/>
      <c r="O15" s="101">
        <v>1</v>
      </c>
      <c r="P15" s="104">
        <f>VLOOKUP($B15,ma!$A:$C,3,0)</f>
        <v>800000</v>
      </c>
      <c r="Q15" s="108">
        <v>880000</v>
      </c>
      <c r="R15" s="109">
        <v>0.1</v>
      </c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7" ht="14">
      <c r="A16" s="97">
        <f t="shared" si="1"/>
        <v>9</v>
      </c>
      <c r="B16" s="98" t="s">
        <v>1468</v>
      </c>
      <c r="C16" s="99" t="s">
        <v>62</v>
      </c>
      <c r="D16" s="100">
        <v>46174</v>
      </c>
      <c r="E16" s="114" t="e">
        <f>VLOOKUP($C16,xe!$A:$B,2,0)</f>
        <v>#N/A</v>
      </c>
      <c r="F16" s="101" t="str">
        <f>VLOOKUP($B16,ma!$A:$B,2,0)</f>
        <v>ANFOOD Q12 ( K BX )</v>
      </c>
      <c r="G16" s="102" t="s">
        <v>1469</v>
      </c>
      <c r="H16" s="103" t="s">
        <v>1459</v>
      </c>
      <c r="I16" s="104"/>
      <c r="J16" s="99"/>
      <c r="K16" s="106">
        <v>2</v>
      </c>
      <c r="L16" s="107"/>
      <c r="M16" s="104"/>
      <c r="N16" s="101"/>
      <c r="O16" s="101">
        <v>1</v>
      </c>
      <c r="P16" s="104">
        <f>VLOOKUP($B16,ma!$A:$C,3,0)</f>
        <v>800000</v>
      </c>
      <c r="Q16" s="108">
        <v>880000</v>
      </c>
      <c r="R16" s="109">
        <v>0.1</v>
      </c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7" ht="14">
      <c r="A17" s="97">
        <f t="shared" si="1"/>
        <v>10</v>
      </c>
      <c r="B17" s="98" t="s">
        <v>1468</v>
      </c>
      <c r="C17" s="99" t="s">
        <v>60</v>
      </c>
      <c r="D17" s="100">
        <v>46174</v>
      </c>
      <c r="E17" s="99" t="e">
        <f>VLOOKUP($C17,xe!$A:$B,2,0)</f>
        <v>#N/A</v>
      </c>
      <c r="F17" s="101" t="str">
        <f>VLOOKUP($B17,ma!$A:$B,2,0)</f>
        <v>ANFOOD Q12 ( K BX )</v>
      </c>
      <c r="G17" s="102" t="s">
        <v>1470</v>
      </c>
      <c r="H17" s="103" t="s">
        <v>1459</v>
      </c>
      <c r="I17" s="104"/>
      <c r="J17" s="99"/>
      <c r="K17" s="106">
        <v>2</v>
      </c>
      <c r="L17" s="107"/>
      <c r="M17" s="104"/>
      <c r="N17" s="101"/>
      <c r="O17" s="101">
        <v>1</v>
      </c>
      <c r="P17" s="104">
        <f>VLOOKUP($B17,ma!$A:$C,3,0)</f>
        <v>800000</v>
      </c>
      <c r="Q17" s="108">
        <v>880000</v>
      </c>
      <c r="R17" s="109">
        <v>0.1</v>
      </c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7" ht="14">
      <c r="A18" s="97">
        <f t="shared" si="1"/>
        <v>11</v>
      </c>
      <c r="B18" s="98" t="s">
        <v>1471</v>
      </c>
      <c r="C18" s="99" t="s">
        <v>63</v>
      </c>
      <c r="D18" s="100">
        <v>46174</v>
      </c>
      <c r="E18" s="99" t="e">
        <f>VLOOKUP($C18,xe!$A:$B,2,0)</f>
        <v>#N/A</v>
      </c>
      <c r="F18" s="101" t="str">
        <f>VLOOKUP($B18,ma!$A:$B,2,0)</f>
        <v>SONG HỒNG TÂN ( KBX )</v>
      </c>
      <c r="G18" s="102" t="s">
        <v>1472</v>
      </c>
      <c r="H18" s="103" t="s">
        <v>1473</v>
      </c>
      <c r="I18" s="104"/>
      <c r="J18" s="105" t="s">
        <v>97</v>
      </c>
      <c r="K18" s="106">
        <v>1</v>
      </c>
      <c r="L18" s="107"/>
      <c r="M18" s="104"/>
      <c r="N18" s="101"/>
      <c r="O18" s="101">
        <v>1</v>
      </c>
      <c r="P18" s="104">
        <f>VLOOKUP($B18,ma!$A:$C,3,0)</f>
        <v>900000</v>
      </c>
      <c r="Q18" s="108">
        <v>990000</v>
      </c>
      <c r="R18" s="109">
        <v>0.1</v>
      </c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7" ht="14">
      <c r="A19" s="97">
        <f t="shared" si="1"/>
        <v>12</v>
      </c>
      <c r="B19" s="98" t="s">
        <v>1474</v>
      </c>
      <c r="C19" s="99" t="s">
        <v>61</v>
      </c>
      <c r="D19" s="100">
        <v>46174</v>
      </c>
      <c r="E19" s="99" t="e">
        <f>VLOOKUP($C19,xe!$A:$B,2,0)</f>
        <v>#N/A</v>
      </c>
      <c r="F19" s="101" t="str">
        <f>VLOOKUP($B19,ma!$A:$B,2,0)</f>
        <v>TP2 GÒ VẤP</v>
      </c>
      <c r="G19" s="102" t="s">
        <v>1475</v>
      </c>
      <c r="H19" s="103" t="s">
        <v>1459</v>
      </c>
      <c r="I19" s="104"/>
      <c r="J19" s="105" t="s">
        <v>1476</v>
      </c>
      <c r="K19" s="106"/>
      <c r="L19" s="107"/>
      <c r="M19" s="104"/>
      <c r="N19" s="101"/>
      <c r="O19" s="101">
        <v>1</v>
      </c>
      <c r="P19" s="104">
        <f>VLOOKUP($B19,ma!$A:$C,3,0)</f>
        <v>800000</v>
      </c>
      <c r="Q19" s="108">
        <v>880000</v>
      </c>
      <c r="R19" s="109">
        <v>0.1</v>
      </c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7" ht="14">
      <c r="A20" s="97">
        <f t="shared" si="1"/>
        <v>13</v>
      </c>
      <c r="B20" s="98" t="s">
        <v>1474</v>
      </c>
      <c r="C20" s="99" t="s">
        <v>57</v>
      </c>
      <c r="D20" s="100">
        <v>46174</v>
      </c>
      <c r="E20" s="99" t="e">
        <f>VLOOKUP($C20,xe!$A:$B,2,0)</f>
        <v>#N/A</v>
      </c>
      <c r="F20" s="101" t="str">
        <f>VLOOKUP($B20,ma!$A:$B,2,0)</f>
        <v>TP2 GÒ VẤP</v>
      </c>
      <c r="G20" s="102" t="s">
        <v>1477</v>
      </c>
      <c r="H20" s="115" t="s">
        <v>1459</v>
      </c>
      <c r="I20" s="104"/>
      <c r="J20" s="105" t="s">
        <v>1476</v>
      </c>
      <c r="K20" s="106"/>
      <c r="L20" s="107"/>
      <c r="M20" s="104"/>
      <c r="N20" s="101"/>
      <c r="O20" s="101">
        <v>1</v>
      </c>
      <c r="P20" s="104">
        <f>VLOOKUP($B20,ma!$A:$C,3,0)</f>
        <v>800000</v>
      </c>
      <c r="Q20" s="108">
        <v>880000</v>
      </c>
      <c r="R20" s="109">
        <v>0.1</v>
      </c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7" ht="14">
      <c r="A21" s="97">
        <f t="shared" si="1"/>
        <v>14</v>
      </c>
      <c r="B21" s="98" t="s">
        <v>1474</v>
      </c>
      <c r="C21" s="99" t="s">
        <v>56</v>
      </c>
      <c r="D21" s="100">
        <v>46174</v>
      </c>
      <c r="E21" s="99" t="e">
        <f>VLOOKUP($C21,xe!$A:$B,2,0)</f>
        <v>#N/A</v>
      </c>
      <c r="F21" s="101" t="str">
        <f>VLOOKUP($B21,ma!$A:$B,2,0)</f>
        <v>TP2 GÒ VẤP</v>
      </c>
      <c r="G21" s="102" t="s">
        <v>1478</v>
      </c>
      <c r="H21" s="103" t="s">
        <v>1459</v>
      </c>
      <c r="I21" s="104"/>
      <c r="J21" s="105" t="s">
        <v>1476</v>
      </c>
      <c r="K21" s="106"/>
      <c r="L21" s="107"/>
      <c r="M21" s="104"/>
      <c r="N21" s="101"/>
      <c r="O21" s="101">
        <v>1</v>
      </c>
      <c r="P21" s="104">
        <f>VLOOKUP($B21,ma!$A:$C,3,0)</f>
        <v>800000</v>
      </c>
      <c r="Q21" s="108">
        <v>880000</v>
      </c>
      <c r="R21" s="109">
        <v>0.1</v>
      </c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7" ht="14">
      <c r="A22" s="97">
        <f t="shared" si="1"/>
        <v>15</v>
      </c>
      <c r="B22" s="98" t="s">
        <v>1474</v>
      </c>
      <c r="C22" s="99" t="s">
        <v>58</v>
      </c>
      <c r="D22" s="100">
        <v>46174</v>
      </c>
      <c r="E22" s="99" t="e">
        <f>VLOOKUP($C22,xe!$A:$B,2,0)</f>
        <v>#N/A</v>
      </c>
      <c r="F22" s="101" t="str">
        <f>VLOOKUP($B22,ma!$A:$B,2,0)</f>
        <v>TP2 GÒ VẤP</v>
      </c>
      <c r="G22" s="102" t="s">
        <v>1479</v>
      </c>
      <c r="H22" s="103" t="s">
        <v>1459</v>
      </c>
      <c r="I22" s="104"/>
      <c r="J22" s="105" t="s">
        <v>1476</v>
      </c>
      <c r="K22" s="106"/>
      <c r="L22" s="107"/>
      <c r="M22" s="104"/>
      <c r="N22" s="101"/>
      <c r="O22" s="101">
        <v>1</v>
      </c>
      <c r="P22" s="104">
        <f>VLOOKUP($B22,ma!$A:$C,3,0)</f>
        <v>800000</v>
      </c>
      <c r="Q22" s="108">
        <v>880000</v>
      </c>
      <c r="R22" s="109">
        <v>0.1</v>
      </c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7" ht="14">
      <c r="A23" s="97">
        <f t="shared" si="1"/>
        <v>16</v>
      </c>
      <c r="B23" s="98" t="s">
        <v>1474</v>
      </c>
      <c r="C23" s="99" t="s">
        <v>55</v>
      </c>
      <c r="D23" s="100">
        <v>46174</v>
      </c>
      <c r="E23" s="99" t="e">
        <f>VLOOKUP($C23,xe!$A:$B,2,0)</f>
        <v>#N/A</v>
      </c>
      <c r="F23" s="101" t="str">
        <f>VLOOKUP($B23,ma!$A:$B,2,0)</f>
        <v>TP2 GÒ VẤP</v>
      </c>
      <c r="G23" s="102" t="s">
        <v>1480</v>
      </c>
      <c r="H23" s="103" t="s">
        <v>1481</v>
      </c>
      <c r="I23" s="104"/>
      <c r="J23" s="105" t="s">
        <v>1476</v>
      </c>
      <c r="K23" s="106"/>
      <c r="L23" s="107"/>
      <c r="M23" s="104"/>
      <c r="N23" s="101"/>
      <c r="O23" s="101">
        <v>1</v>
      </c>
      <c r="P23" s="104">
        <f>VLOOKUP($B23,ma!$A:$C,3,0)</f>
        <v>800000</v>
      </c>
      <c r="Q23" s="108">
        <v>880000</v>
      </c>
      <c r="R23" s="109">
        <v>0.1</v>
      </c>
      <c r="S23" s="110"/>
      <c r="T23" s="110"/>
      <c r="U23" s="110"/>
      <c r="V23" s="110"/>
      <c r="W23" s="110"/>
      <c r="X23" s="110"/>
      <c r="Y23" s="110"/>
      <c r="Z23" s="110"/>
      <c r="AA23" s="110"/>
    </row>
    <row r="24" spans="1:27" ht="14">
      <c r="A24" s="97">
        <f t="shared" si="1"/>
        <v>17</v>
      </c>
      <c r="B24" s="98" t="s">
        <v>1482</v>
      </c>
      <c r="C24" s="99" t="s">
        <v>59</v>
      </c>
      <c r="D24" s="100">
        <v>46174</v>
      </c>
      <c r="E24" s="99" t="e">
        <f>VLOOKUP($C24,xe!$A:$B,2,0)</f>
        <v>#N/A</v>
      </c>
      <c r="F24" s="101" t="str">
        <f>VLOOKUP($B24,ma!$A:$B,2,0)</f>
        <v>DƯỢC PHẨM QUỐC TẾ ( KBX )</v>
      </c>
      <c r="G24" s="102" t="s">
        <v>1483</v>
      </c>
      <c r="H24" s="103" t="s">
        <v>1481</v>
      </c>
      <c r="I24" s="104"/>
      <c r="J24" s="99"/>
      <c r="K24" s="106">
        <v>1.6</v>
      </c>
      <c r="L24" s="107"/>
      <c r="M24" s="104"/>
      <c r="N24" s="101"/>
      <c r="O24" s="101">
        <v>1</v>
      </c>
      <c r="P24" s="104">
        <f>VLOOKUP($B24,ma!$A:$C,3,0)</f>
        <v>800000</v>
      </c>
      <c r="Q24" s="108">
        <v>880000</v>
      </c>
      <c r="R24" s="109">
        <v>0.1</v>
      </c>
      <c r="S24" s="110"/>
      <c r="T24" s="110"/>
      <c r="U24" s="110"/>
      <c r="V24" s="110"/>
      <c r="W24" s="110"/>
      <c r="X24" s="110"/>
      <c r="Y24" s="110"/>
      <c r="Z24" s="110"/>
      <c r="AA24" s="110"/>
    </row>
    <row r="25" spans="1:27" ht="14">
      <c r="A25" s="97">
        <f t="shared" si="1"/>
        <v>18</v>
      </c>
      <c r="B25" s="98" t="s">
        <v>1482</v>
      </c>
      <c r="C25" s="99" t="s">
        <v>1484</v>
      </c>
      <c r="D25" s="100">
        <v>46174</v>
      </c>
      <c r="E25" s="99" t="e">
        <f>VLOOKUP($C25,xe!$A:$B,2,0)</f>
        <v>#N/A</v>
      </c>
      <c r="F25" s="101" t="str">
        <f>VLOOKUP($B25,ma!$A:$B,2,0)</f>
        <v>DƯỢC PHẨM QUỐC TẾ ( KBX )</v>
      </c>
      <c r="G25" s="102" t="s">
        <v>1485</v>
      </c>
      <c r="H25" s="103" t="s">
        <v>1481</v>
      </c>
      <c r="I25" s="104"/>
      <c r="J25" s="99"/>
      <c r="K25" s="106">
        <v>1.6</v>
      </c>
      <c r="L25" s="107"/>
      <c r="M25" s="104"/>
      <c r="N25" s="101"/>
      <c r="O25" s="101">
        <v>1</v>
      </c>
      <c r="P25" s="104">
        <f>VLOOKUP($B25,ma!$A:$C,3,0)</f>
        <v>800000</v>
      </c>
      <c r="Q25" s="108">
        <v>880000</v>
      </c>
      <c r="R25" s="109">
        <v>0.1</v>
      </c>
      <c r="S25" s="110"/>
      <c r="T25" s="110"/>
      <c r="U25" s="110"/>
      <c r="V25" s="110"/>
      <c r="W25" s="110"/>
      <c r="X25" s="110"/>
      <c r="Y25" s="110"/>
      <c r="Z25" s="110"/>
      <c r="AA25" s="110"/>
    </row>
    <row r="26" spans="1:27" ht="14">
      <c r="A26" s="97">
        <f t="shared" si="1"/>
        <v>19</v>
      </c>
      <c r="B26" s="98" t="s">
        <v>1482</v>
      </c>
      <c r="C26" s="99" t="s">
        <v>16</v>
      </c>
      <c r="D26" s="100">
        <v>46174</v>
      </c>
      <c r="E26" s="99" t="str">
        <f>VLOOKUP($C26,xe!$A:$B,2,0)</f>
        <v>50H-74619</v>
      </c>
      <c r="F26" s="101" t="str">
        <f>VLOOKUP($B26,ma!$A:$B,2,0)</f>
        <v>DƯỢC PHẨM QUỐC TẾ ( KBX )</v>
      </c>
      <c r="G26" s="102" t="s">
        <v>1486</v>
      </c>
      <c r="H26" s="103" t="s">
        <v>1481</v>
      </c>
      <c r="I26" s="104"/>
      <c r="J26" s="99"/>
      <c r="K26" s="106">
        <v>1.8</v>
      </c>
      <c r="L26" s="107">
        <v>50000</v>
      </c>
      <c r="M26" s="104"/>
      <c r="N26" s="101"/>
      <c r="O26" s="101">
        <v>1</v>
      </c>
      <c r="P26" s="104">
        <f>VLOOKUP($B26,ma!$A:$C,3,0)</f>
        <v>800000</v>
      </c>
      <c r="Q26" s="108">
        <v>880000</v>
      </c>
      <c r="R26" s="109">
        <v>0.1</v>
      </c>
      <c r="S26" s="110"/>
      <c r="T26" s="110"/>
      <c r="U26" s="110"/>
      <c r="V26" s="110"/>
      <c r="W26" s="110"/>
      <c r="X26" s="110"/>
      <c r="Y26" s="110"/>
      <c r="Z26" s="110"/>
      <c r="AA26" s="110"/>
    </row>
    <row r="27" spans="1:27" ht="14">
      <c r="A27" s="97">
        <f t="shared" si="1"/>
        <v>20</v>
      </c>
      <c r="B27" s="98" t="s">
        <v>1487</v>
      </c>
      <c r="C27" s="99" t="s">
        <v>1488</v>
      </c>
      <c r="D27" s="100">
        <v>46174</v>
      </c>
      <c r="E27" s="99" t="e">
        <f>VLOOKUP($C27,xe!$A:$B,2,0)</f>
        <v>#N/A</v>
      </c>
      <c r="F27" s="101" t="str">
        <f>VLOOKUP($B27,ma!$A:$B,2,0)</f>
        <v>SATRA SÀI GÒN</v>
      </c>
      <c r="G27" s="102" t="s">
        <v>1489</v>
      </c>
      <c r="H27" s="103" t="s">
        <v>1473</v>
      </c>
      <c r="I27" s="104"/>
      <c r="J27" s="99"/>
      <c r="K27" s="106">
        <v>1</v>
      </c>
      <c r="L27" s="107">
        <f t="shared" ref="L27:L29" si="2">K27*50000</f>
        <v>50000</v>
      </c>
      <c r="M27" s="104"/>
      <c r="N27" s="101"/>
      <c r="O27" s="101">
        <v>1</v>
      </c>
      <c r="P27" s="104">
        <f>VLOOKUP($B27,ma!$A:$C,3,0)</f>
        <v>800000</v>
      </c>
      <c r="Q27" s="108">
        <v>880000</v>
      </c>
      <c r="R27" s="109">
        <v>0.1</v>
      </c>
      <c r="S27" s="110"/>
      <c r="T27" s="110"/>
      <c r="U27" s="110"/>
      <c r="V27" s="110"/>
      <c r="W27" s="110"/>
      <c r="X27" s="110"/>
      <c r="Y27" s="110"/>
      <c r="Z27" s="110"/>
      <c r="AA27" s="110"/>
    </row>
    <row r="28" spans="1:27" ht="14">
      <c r="A28" s="97">
        <f t="shared" si="1"/>
        <v>21</v>
      </c>
      <c r="B28" s="98" t="s">
        <v>1490</v>
      </c>
      <c r="C28" s="99" t="s">
        <v>26</v>
      </c>
      <c r="D28" s="100">
        <v>46174</v>
      </c>
      <c r="E28" s="99" t="str">
        <f>VLOOKUP($C28,xe!$A:$B,2,0)</f>
        <v>50H-55443</v>
      </c>
      <c r="F28" s="101" t="str">
        <f>VLOOKUP($B28,ma!$A:$B,2,0)</f>
        <v>BC MIỀN ĐÔNG</v>
      </c>
      <c r="G28" s="102" t="s">
        <v>1491</v>
      </c>
      <c r="H28" s="103" t="s">
        <v>1459</v>
      </c>
      <c r="I28" s="104"/>
      <c r="J28" s="99"/>
      <c r="K28" s="106">
        <v>2</v>
      </c>
      <c r="L28" s="107">
        <f t="shared" si="2"/>
        <v>100000</v>
      </c>
      <c r="M28" s="104"/>
      <c r="N28" s="101"/>
      <c r="O28" s="101">
        <v>1</v>
      </c>
      <c r="P28" s="104">
        <f>VLOOKUP($B28,ma!$A:$C,3,0)</f>
        <v>800000</v>
      </c>
      <c r="Q28" s="108">
        <v>880000</v>
      </c>
      <c r="R28" s="109">
        <v>0.1</v>
      </c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1:27" ht="14">
      <c r="A29" s="97">
        <f t="shared" si="1"/>
        <v>22</v>
      </c>
      <c r="B29" s="98" t="s">
        <v>1492</v>
      </c>
      <c r="C29" s="99" t="s">
        <v>18</v>
      </c>
      <c r="D29" s="100">
        <v>46174</v>
      </c>
      <c r="E29" s="99" t="str">
        <f>VLOOKUP($C29,xe!$A:$B,2,0)</f>
        <v>50H 87442</v>
      </c>
      <c r="F29" s="101" t="str">
        <f>VLOOKUP($B29,ma!$A:$B,2,0)</f>
        <v>NGUYỄN TRƯƠNG</v>
      </c>
      <c r="G29" s="102" t="s">
        <v>1493</v>
      </c>
      <c r="H29" s="103" t="s">
        <v>1459</v>
      </c>
      <c r="I29" s="104"/>
      <c r="J29" s="99"/>
      <c r="K29" s="106">
        <v>1.2</v>
      </c>
      <c r="L29" s="107">
        <f t="shared" si="2"/>
        <v>60000</v>
      </c>
      <c r="M29" s="104"/>
      <c r="N29" s="101"/>
      <c r="O29" s="101">
        <v>1</v>
      </c>
      <c r="P29" s="104">
        <f>VLOOKUP($B29,ma!$A:$C,3,0)</f>
        <v>800000</v>
      </c>
      <c r="Q29" s="108">
        <v>880000</v>
      </c>
      <c r="R29" s="109">
        <v>0.1</v>
      </c>
      <c r="S29" s="110"/>
      <c r="T29" s="110"/>
      <c r="U29" s="110"/>
      <c r="V29" s="110"/>
      <c r="W29" s="110"/>
      <c r="X29" s="110"/>
      <c r="Y29" s="110"/>
      <c r="Z29" s="110"/>
      <c r="AA29" s="110"/>
    </row>
    <row r="30" spans="1:27" ht="14">
      <c r="A30" s="97">
        <f t="shared" si="1"/>
        <v>23</v>
      </c>
      <c r="B30" s="98" t="s">
        <v>1494</v>
      </c>
      <c r="C30" s="99" t="s">
        <v>30</v>
      </c>
      <c r="D30" s="100">
        <v>46174</v>
      </c>
      <c r="E30" s="99" t="str">
        <f>VLOOKUP($C30,xe!$A:$B,2,0)</f>
        <v>50H-63174</v>
      </c>
      <c r="F30" s="101" t="str">
        <f>VLOOKUP($B30,ma!$A:$B,2,0)</f>
        <v>HỒNG Á ( K BX )</v>
      </c>
      <c r="G30" s="102" t="s">
        <v>1495</v>
      </c>
      <c r="H30" s="103" t="s">
        <v>1459</v>
      </c>
      <c r="I30" s="104"/>
      <c r="J30" s="99"/>
      <c r="K30" s="106" t="s">
        <v>1437</v>
      </c>
      <c r="L30" s="107">
        <v>50000</v>
      </c>
      <c r="M30" s="104"/>
      <c r="N30" s="101"/>
      <c r="O30" s="101">
        <v>1</v>
      </c>
      <c r="P30" s="104">
        <f>VLOOKUP($B30,ma!$A:$C,3,0)</f>
        <v>800000</v>
      </c>
      <c r="Q30" s="108">
        <v>880000</v>
      </c>
      <c r="R30" s="109">
        <v>0.1</v>
      </c>
      <c r="S30" s="110"/>
      <c r="T30" s="110"/>
      <c r="U30" s="110"/>
      <c r="V30" s="110"/>
      <c r="W30" s="110"/>
      <c r="X30" s="110"/>
      <c r="Y30" s="110"/>
      <c r="Z30" s="110"/>
      <c r="AA30" s="110"/>
    </row>
    <row r="31" spans="1:27" ht="14">
      <c r="A31" s="97">
        <f t="shared" si="1"/>
        <v>24</v>
      </c>
      <c r="B31" s="98" t="s">
        <v>787</v>
      </c>
      <c r="C31" s="99" t="s">
        <v>12</v>
      </c>
      <c r="D31" s="100">
        <v>46174</v>
      </c>
      <c r="E31" s="99" t="str">
        <f>VLOOKUP($C31,xe!$A:$B,2,0)</f>
        <v>50E-164,61</v>
      </c>
      <c r="F31" s="101" t="str">
        <f>VLOOKUP($B31,ma!$A:$B,2,0)</f>
        <v>SPM TÂN TẠO</v>
      </c>
      <c r="G31" s="102" t="s">
        <v>1496</v>
      </c>
      <c r="H31" s="103" t="s">
        <v>1459</v>
      </c>
      <c r="I31" s="104"/>
      <c r="J31" s="99"/>
      <c r="K31" s="106">
        <v>1.8</v>
      </c>
      <c r="L31" s="107">
        <f>K31*50000</f>
        <v>90000</v>
      </c>
      <c r="M31" s="104"/>
      <c r="N31" s="101"/>
      <c r="O31" s="101">
        <v>1</v>
      </c>
      <c r="P31" s="104">
        <f>VLOOKUP($B31,ma!$A:$C,3,0)</f>
        <v>800000</v>
      </c>
      <c r="Q31" s="108">
        <v>880000</v>
      </c>
      <c r="R31" s="109">
        <v>0.1</v>
      </c>
      <c r="S31" s="110"/>
      <c r="T31" s="110"/>
      <c r="U31" s="110"/>
      <c r="V31" s="110"/>
      <c r="W31" s="110"/>
      <c r="X31" s="110"/>
      <c r="Y31" s="110"/>
      <c r="Z31" s="110"/>
      <c r="AA31" s="110"/>
    </row>
    <row r="32" spans="1:27" ht="14">
      <c r="A32" s="97">
        <f t="shared" si="1"/>
        <v>25</v>
      </c>
      <c r="B32" s="98" t="s">
        <v>1497</v>
      </c>
      <c r="C32" s="99" t="s">
        <v>1498</v>
      </c>
      <c r="D32" s="100">
        <v>46174</v>
      </c>
      <c r="E32" s="99" t="str">
        <f>VLOOKUP($C32,xe!$A:$B,2,0)</f>
        <v>50H-70216</v>
      </c>
      <c r="F32" s="101" t="str">
        <f>VLOOKUP($B32,ma!$A:$B,2,0)</f>
        <v>VĂN HẬU Q8 ( K BX )</v>
      </c>
      <c r="G32" s="102" t="s">
        <v>1499</v>
      </c>
      <c r="H32" s="103" t="s">
        <v>1499</v>
      </c>
      <c r="I32" s="104"/>
      <c r="J32" s="99"/>
      <c r="K32" s="106">
        <v>2.2000000000000002</v>
      </c>
      <c r="L32" s="107">
        <v>50000</v>
      </c>
      <c r="M32" s="104"/>
      <c r="N32" s="101"/>
      <c r="O32" s="101">
        <v>1</v>
      </c>
      <c r="P32" s="104">
        <f>VLOOKUP($B32,ma!$A:$C,3,0)</f>
        <v>800000</v>
      </c>
      <c r="Q32" s="108">
        <v>880000</v>
      </c>
      <c r="R32" s="109">
        <v>0.1</v>
      </c>
      <c r="S32" s="110"/>
      <c r="T32" s="110"/>
      <c r="U32" s="110"/>
      <c r="V32" s="110"/>
      <c r="W32" s="110"/>
      <c r="X32" s="110"/>
      <c r="Y32" s="110"/>
      <c r="Z32" s="110"/>
      <c r="AA32" s="110"/>
    </row>
    <row r="33" spans="1:27" ht="14">
      <c r="A33" s="97">
        <f t="shared" si="1"/>
        <v>26</v>
      </c>
      <c r="B33" s="98" t="s">
        <v>275</v>
      </c>
      <c r="C33" s="99" t="s">
        <v>24</v>
      </c>
      <c r="D33" s="100">
        <v>46174</v>
      </c>
      <c r="E33" s="99" t="str">
        <f>VLOOKUP($C33,xe!$A:$B,2,0)</f>
        <v>50H-55161</v>
      </c>
      <c r="F33" s="101" t="str">
        <f>VLOOKUP($B33,ma!$A:$B,2,0)</f>
        <v xml:space="preserve">Agrex SG </v>
      </c>
      <c r="G33" s="102" t="s">
        <v>1500</v>
      </c>
      <c r="H33" s="103" t="s">
        <v>1459</v>
      </c>
      <c r="I33" s="104"/>
      <c r="J33" s="99"/>
      <c r="K33" s="106">
        <v>1.6</v>
      </c>
      <c r="L33" s="107">
        <f t="shared" ref="L33:L34" si="3">K33*50000</f>
        <v>80000</v>
      </c>
      <c r="M33" s="104"/>
      <c r="N33" s="101"/>
      <c r="O33" s="101">
        <v>1</v>
      </c>
      <c r="P33" s="104">
        <f>VLOOKUP($B33,ma!$A:$C,3,0)</f>
        <v>800000</v>
      </c>
      <c r="Q33" s="108">
        <v>880000</v>
      </c>
      <c r="R33" s="109">
        <v>0.1</v>
      </c>
      <c r="S33" s="110"/>
      <c r="T33" s="110"/>
      <c r="U33" s="110"/>
      <c r="V33" s="110"/>
      <c r="W33" s="110"/>
      <c r="X33" s="110"/>
      <c r="Y33" s="110"/>
      <c r="Z33" s="110"/>
      <c r="AA33" s="110"/>
    </row>
    <row r="34" spans="1:27" ht="14">
      <c r="A34" s="97">
        <f t="shared" si="1"/>
        <v>27</v>
      </c>
      <c r="B34" s="98" t="s">
        <v>275</v>
      </c>
      <c r="C34" s="99" t="s">
        <v>24</v>
      </c>
      <c r="D34" s="100">
        <v>46174</v>
      </c>
      <c r="E34" s="99" t="str">
        <f>VLOOKUP($C34,xe!$A:$B,2,0)</f>
        <v>50H-55161</v>
      </c>
      <c r="F34" s="101" t="str">
        <f>VLOOKUP($B34,ma!$A:$B,2,0)</f>
        <v xml:space="preserve">Agrex SG </v>
      </c>
      <c r="G34" s="102" t="s">
        <v>1501</v>
      </c>
      <c r="H34" s="103" t="s">
        <v>1459</v>
      </c>
      <c r="I34" s="104"/>
      <c r="J34" s="99"/>
      <c r="K34" s="106">
        <v>1.6</v>
      </c>
      <c r="L34" s="107">
        <f t="shared" si="3"/>
        <v>80000</v>
      </c>
      <c r="M34" s="104"/>
      <c r="N34" s="101"/>
      <c r="O34" s="101">
        <v>1</v>
      </c>
      <c r="P34" s="104">
        <f>VLOOKUP($B34,ma!$A:$C,3,0)</f>
        <v>800000</v>
      </c>
      <c r="Q34" s="108">
        <v>880000</v>
      </c>
      <c r="R34" s="109">
        <v>0.1</v>
      </c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27" ht="14">
      <c r="A35" s="97">
        <f t="shared" si="1"/>
        <v>28</v>
      </c>
      <c r="B35" s="98" t="s">
        <v>1502</v>
      </c>
      <c r="C35" s="99" t="s">
        <v>1503</v>
      </c>
      <c r="D35" s="100">
        <v>46174</v>
      </c>
      <c r="E35" s="99" t="str">
        <f>VLOOKUP($C35,xe!$A:$B,2,0)</f>
        <v>50E-164,61</v>
      </c>
      <c r="F35" s="101" t="str">
        <f>VLOOKUP($B35,ma!$A:$B,2,0)</f>
        <v>VỊ NGỌT HAPPY ( K BX )</v>
      </c>
      <c r="G35" s="102" t="s">
        <v>1504</v>
      </c>
      <c r="H35" s="103" t="s">
        <v>1459</v>
      </c>
      <c r="I35" s="104"/>
      <c r="J35" s="99"/>
      <c r="K35" s="106">
        <v>1.2</v>
      </c>
      <c r="L35" s="107">
        <v>50000</v>
      </c>
      <c r="M35" s="104"/>
      <c r="N35" s="101"/>
      <c r="O35" s="101">
        <v>1</v>
      </c>
      <c r="P35" s="104">
        <f>VLOOKUP($B35,ma!$A:$C,3,0)</f>
        <v>800000</v>
      </c>
      <c r="Q35" s="108">
        <v>880000</v>
      </c>
      <c r="R35" s="109">
        <v>0.1</v>
      </c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27" ht="14">
      <c r="A36" s="97">
        <f t="shared" si="1"/>
        <v>29</v>
      </c>
      <c r="B36" s="98" t="s">
        <v>1502</v>
      </c>
      <c r="C36" s="99" t="s">
        <v>1505</v>
      </c>
      <c r="D36" s="100">
        <v>46174</v>
      </c>
      <c r="E36" s="99" t="str">
        <f>VLOOKUP($C36,xe!$A:$B,2,0)</f>
        <v>50H 87442</v>
      </c>
      <c r="F36" s="101" t="str">
        <f>VLOOKUP($B36,ma!$A:$B,2,0)</f>
        <v>VỊ NGỌT HAPPY ( K BX )</v>
      </c>
      <c r="G36" s="102" t="s">
        <v>1506</v>
      </c>
      <c r="H36" s="103" t="s">
        <v>1459</v>
      </c>
      <c r="I36" s="104"/>
      <c r="J36" s="99"/>
      <c r="K36" s="106">
        <v>1.2</v>
      </c>
      <c r="L36" s="107">
        <v>50000</v>
      </c>
      <c r="M36" s="104"/>
      <c r="N36" s="101"/>
      <c r="O36" s="101">
        <v>1</v>
      </c>
      <c r="P36" s="104">
        <f>VLOOKUP($B36,ma!$A:$C,3,0)</f>
        <v>800000</v>
      </c>
      <c r="Q36" s="108">
        <v>880000</v>
      </c>
      <c r="R36" s="109">
        <v>0.1</v>
      </c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27" ht="14">
      <c r="A37" s="97">
        <f t="shared" si="1"/>
        <v>30</v>
      </c>
      <c r="B37" s="98" t="s">
        <v>1507</v>
      </c>
      <c r="C37" s="99" t="s">
        <v>30</v>
      </c>
      <c r="D37" s="100">
        <v>46174</v>
      </c>
      <c r="E37" s="99" t="str">
        <f>VLOOKUP($C37,xe!$A:$B,2,0)</f>
        <v>50H-63174</v>
      </c>
      <c r="F37" s="101" t="str">
        <f>VLOOKUP($B37,ma!$A:$B,2,0)</f>
        <v>BHX NHÀ BÈ</v>
      </c>
      <c r="G37" s="102" t="s">
        <v>1508</v>
      </c>
      <c r="H37" s="103" t="s">
        <v>1459</v>
      </c>
      <c r="I37" s="104"/>
      <c r="J37" s="105" t="s">
        <v>465</v>
      </c>
      <c r="K37" s="106">
        <v>1.8</v>
      </c>
      <c r="L37" s="113">
        <v>180000</v>
      </c>
      <c r="M37" s="104"/>
      <c r="N37" s="101"/>
      <c r="O37" s="101">
        <v>1</v>
      </c>
      <c r="P37" s="104">
        <f>VLOOKUP($B37,ma!$A:$C,3,0)</f>
        <v>400000</v>
      </c>
      <c r="Q37" s="108">
        <v>440000</v>
      </c>
      <c r="R37" s="109">
        <v>0.1</v>
      </c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27" ht="14">
      <c r="A38" s="97">
        <f t="shared" si="1"/>
        <v>31</v>
      </c>
      <c r="B38" s="98" t="s">
        <v>1507</v>
      </c>
      <c r="C38" s="99" t="s">
        <v>1509</v>
      </c>
      <c r="D38" s="100">
        <v>46174</v>
      </c>
      <c r="E38" s="99" t="str">
        <f>VLOOKUP($C38,xe!$A:$B,2,0)</f>
        <v>50H-70216</v>
      </c>
      <c r="F38" s="101" t="str">
        <f>VLOOKUP($B38,ma!$A:$B,2,0)</f>
        <v>BHX NHÀ BÈ</v>
      </c>
      <c r="G38" s="102" t="s">
        <v>1510</v>
      </c>
      <c r="H38" s="103" t="s">
        <v>1473</v>
      </c>
      <c r="I38" s="104"/>
      <c r="J38" s="99"/>
      <c r="K38" s="106">
        <v>1.8</v>
      </c>
      <c r="L38" s="113">
        <v>180000</v>
      </c>
      <c r="M38" s="104"/>
      <c r="N38" s="101"/>
      <c r="O38" s="101">
        <v>1</v>
      </c>
      <c r="P38" s="104">
        <f>VLOOKUP($B38,ma!$A:$C,3,0)</f>
        <v>400000</v>
      </c>
      <c r="Q38" s="108">
        <v>440000</v>
      </c>
      <c r="R38" s="109">
        <v>0.1</v>
      </c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1:27" ht="14">
      <c r="A39" s="97">
        <f t="shared" si="1"/>
        <v>32</v>
      </c>
      <c r="B39" s="98" t="s">
        <v>1507</v>
      </c>
      <c r="C39" s="99" t="s">
        <v>1511</v>
      </c>
      <c r="D39" s="100">
        <v>46174</v>
      </c>
      <c r="E39" s="99" t="str">
        <f>VLOOKUP($C39,xe!$A:$B,2,0)</f>
        <v>50H-54580</v>
      </c>
      <c r="F39" s="101" t="str">
        <f>VLOOKUP($B39,ma!$A:$B,2,0)</f>
        <v>BHX NHÀ BÈ</v>
      </c>
      <c r="G39" s="102" t="s">
        <v>1512</v>
      </c>
      <c r="H39" s="103" t="s">
        <v>1473</v>
      </c>
      <c r="I39" s="104"/>
      <c r="J39" s="99"/>
      <c r="K39" s="106">
        <v>1.8</v>
      </c>
      <c r="L39" s="113">
        <v>180000</v>
      </c>
      <c r="M39" s="104"/>
      <c r="N39" s="101"/>
      <c r="O39" s="101">
        <v>1</v>
      </c>
      <c r="P39" s="104">
        <f>VLOOKUP($B39,ma!$A:$C,3,0)</f>
        <v>400000</v>
      </c>
      <c r="Q39" s="108">
        <v>440000</v>
      </c>
      <c r="R39" s="109">
        <v>0.1</v>
      </c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1:27" ht="14">
      <c r="A40" s="116">
        <v>1</v>
      </c>
      <c r="B40" s="117" t="s">
        <v>1137</v>
      </c>
      <c r="C40" s="118" t="s">
        <v>1484</v>
      </c>
      <c r="D40" s="119">
        <v>46175</v>
      </c>
      <c r="E40" s="118" t="e">
        <f>VLOOKUP($C40,xe!$A:$B,2,0)</f>
        <v>#N/A</v>
      </c>
      <c r="F40" s="120" t="str">
        <f>VLOOKUP($B40,ma!$A:$B,2,0)</f>
        <v>AEON TÂN PHÚ</v>
      </c>
      <c r="G40" s="121" t="s">
        <v>1513</v>
      </c>
      <c r="H40" s="122" t="s">
        <v>1473</v>
      </c>
      <c r="I40" s="123"/>
      <c r="J40" s="105" t="s">
        <v>119</v>
      </c>
      <c r="K40" s="124">
        <v>1.8</v>
      </c>
      <c r="L40" s="125">
        <f t="shared" ref="L40:L43" si="4">K40*50000</f>
        <v>90000</v>
      </c>
      <c r="M40" s="123"/>
      <c r="N40" s="120"/>
      <c r="O40" s="120">
        <v>1</v>
      </c>
      <c r="P40" s="123">
        <f>VLOOKUP($B40,ma!$A:$C,3,0)</f>
        <v>800000</v>
      </c>
      <c r="Q40" s="108">
        <v>880000</v>
      </c>
      <c r="R40" s="109">
        <v>0.1</v>
      </c>
      <c r="S40" s="111"/>
      <c r="T40" s="111"/>
      <c r="U40" s="111"/>
      <c r="V40" s="111"/>
      <c r="W40" s="111"/>
      <c r="X40" s="111"/>
      <c r="Y40" s="111"/>
      <c r="Z40" s="111"/>
      <c r="AA40" s="111"/>
    </row>
    <row r="41" spans="1:27" ht="14">
      <c r="A41" s="97">
        <f t="shared" ref="A41:A79" si="5">A40+1</f>
        <v>2</v>
      </c>
      <c r="B41" s="98" t="s">
        <v>1137</v>
      </c>
      <c r="C41" s="99" t="s">
        <v>57</v>
      </c>
      <c r="D41" s="100">
        <v>46175</v>
      </c>
      <c r="E41" s="99" t="e">
        <f>VLOOKUP($C41,xe!$A:$B,2,0)</f>
        <v>#N/A</v>
      </c>
      <c r="F41" s="101" t="str">
        <f>VLOOKUP($B41,ma!$A:$B,2,0)</f>
        <v>AEON TÂN PHÚ</v>
      </c>
      <c r="G41" s="102" t="s">
        <v>1514</v>
      </c>
      <c r="H41" s="103" t="s">
        <v>1473</v>
      </c>
      <c r="I41" s="104"/>
      <c r="J41" s="105" t="s">
        <v>119</v>
      </c>
      <c r="K41" s="106">
        <v>1.8</v>
      </c>
      <c r="L41" s="107">
        <f t="shared" si="4"/>
        <v>90000</v>
      </c>
      <c r="M41" s="104"/>
      <c r="N41" s="101"/>
      <c r="O41" s="101">
        <v>1</v>
      </c>
      <c r="P41" s="104">
        <f>VLOOKUP($B41,ma!$A:$C,3,0)</f>
        <v>800000</v>
      </c>
      <c r="Q41" s="108">
        <v>880000</v>
      </c>
      <c r="R41" s="109">
        <v>0.1</v>
      </c>
      <c r="S41" s="110"/>
      <c r="T41" s="110"/>
      <c r="U41" s="110"/>
      <c r="V41" s="110"/>
      <c r="W41" s="110"/>
      <c r="X41" s="110"/>
      <c r="Y41" s="110"/>
      <c r="Z41" s="110"/>
      <c r="AA41" s="110"/>
    </row>
    <row r="42" spans="1:27" ht="14">
      <c r="A42" s="97">
        <f t="shared" si="5"/>
        <v>3</v>
      </c>
      <c r="B42" s="98" t="s">
        <v>1137</v>
      </c>
      <c r="C42" s="99" t="s">
        <v>56</v>
      </c>
      <c r="D42" s="100">
        <v>46175</v>
      </c>
      <c r="E42" s="99" t="e">
        <f>VLOOKUP($C42,xe!$A:$B,2,0)</f>
        <v>#N/A</v>
      </c>
      <c r="F42" s="101" t="str">
        <f>VLOOKUP($B42,ma!$A:$B,2,0)</f>
        <v>AEON TÂN PHÚ</v>
      </c>
      <c r="G42" s="102" t="s">
        <v>1515</v>
      </c>
      <c r="H42" s="103" t="s">
        <v>1473</v>
      </c>
      <c r="I42" s="104"/>
      <c r="J42" s="105" t="s">
        <v>119</v>
      </c>
      <c r="K42" s="106">
        <v>1.8</v>
      </c>
      <c r="L42" s="107">
        <f t="shared" si="4"/>
        <v>90000</v>
      </c>
      <c r="M42" s="104"/>
      <c r="N42" s="101"/>
      <c r="O42" s="101">
        <v>1</v>
      </c>
      <c r="P42" s="104">
        <f>VLOOKUP($B42,ma!$A:$C,3,0)</f>
        <v>800000</v>
      </c>
      <c r="Q42" s="108">
        <v>880000</v>
      </c>
      <c r="R42" s="109">
        <v>0.1</v>
      </c>
      <c r="S42" s="110"/>
      <c r="T42" s="110"/>
      <c r="U42" s="110"/>
      <c r="V42" s="110"/>
      <c r="W42" s="110"/>
      <c r="X42" s="110"/>
      <c r="Y42" s="110"/>
      <c r="Z42" s="110"/>
      <c r="AA42" s="110"/>
    </row>
    <row r="43" spans="1:27" ht="14">
      <c r="A43" s="97">
        <f t="shared" si="5"/>
        <v>4</v>
      </c>
      <c r="B43" s="98" t="s">
        <v>1137</v>
      </c>
      <c r="C43" s="99" t="s">
        <v>4</v>
      </c>
      <c r="D43" s="100">
        <v>46175</v>
      </c>
      <c r="E43" s="99" t="str">
        <f>VLOOKUP($C43,xe!$A:$B,2,0)</f>
        <v>50H-55116</v>
      </c>
      <c r="F43" s="101" t="str">
        <f>VLOOKUP($B43,ma!$A:$B,2,0)</f>
        <v>AEON TÂN PHÚ</v>
      </c>
      <c r="G43" s="102" t="s">
        <v>1516</v>
      </c>
      <c r="H43" s="103" t="s">
        <v>1473</v>
      </c>
      <c r="I43" s="104"/>
      <c r="J43" s="105" t="s">
        <v>119</v>
      </c>
      <c r="K43" s="106">
        <v>1.8</v>
      </c>
      <c r="L43" s="107">
        <f t="shared" si="4"/>
        <v>90000</v>
      </c>
      <c r="M43" s="104"/>
      <c r="N43" s="101"/>
      <c r="O43" s="101">
        <v>1</v>
      </c>
      <c r="P43" s="104">
        <f>VLOOKUP($B43,ma!$A:$C,3,0)</f>
        <v>800000</v>
      </c>
      <c r="Q43" s="108">
        <v>880000</v>
      </c>
      <c r="R43" s="109">
        <v>0.1</v>
      </c>
      <c r="S43" s="110"/>
      <c r="T43" s="110"/>
      <c r="U43" s="110"/>
      <c r="V43" s="110"/>
      <c r="W43" s="110"/>
      <c r="X43" s="110"/>
      <c r="Y43" s="110"/>
      <c r="Z43" s="110"/>
      <c r="AA43" s="110"/>
    </row>
    <row r="44" spans="1:27" ht="14">
      <c r="A44" s="97">
        <f t="shared" si="5"/>
        <v>5</v>
      </c>
      <c r="B44" s="98" t="s">
        <v>463</v>
      </c>
      <c r="C44" s="99" t="s">
        <v>61</v>
      </c>
      <c r="D44" s="100">
        <v>46175</v>
      </c>
      <c r="E44" s="99" t="e">
        <f>VLOOKUP($C44,xe!$A:$B,2,0)</f>
        <v>#N/A</v>
      </c>
      <c r="F44" s="101" t="str">
        <f>VLOOKUP($B44,ma!$A:$B,2,0)</f>
        <v>NAM VIỆT ĐỖ H.MÔN ( K BX)</v>
      </c>
      <c r="G44" s="102" t="s">
        <v>1517</v>
      </c>
      <c r="H44" s="103" t="s">
        <v>1518</v>
      </c>
      <c r="I44" s="104"/>
      <c r="J44" s="105" t="s">
        <v>119</v>
      </c>
      <c r="K44" s="106">
        <v>2</v>
      </c>
      <c r="L44" s="107"/>
      <c r="M44" s="104"/>
      <c r="N44" s="101"/>
      <c r="O44" s="101">
        <v>1</v>
      </c>
      <c r="P44" s="104">
        <f>VLOOKUP($B44,ma!$A:$C,3,0)</f>
        <v>800000</v>
      </c>
      <c r="Q44" s="108">
        <v>880000</v>
      </c>
      <c r="R44" s="109">
        <v>0.1</v>
      </c>
      <c r="S44" s="110"/>
      <c r="T44" s="110"/>
      <c r="U44" s="110"/>
      <c r="V44" s="110"/>
      <c r="W44" s="110"/>
      <c r="X44" s="110"/>
      <c r="Y44" s="110"/>
      <c r="Z44" s="110"/>
      <c r="AA44" s="110"/>
    </row>
    <row r="45" spans="1:27" ht="14">
      <c r="A45" s="97">
        <f t="shared" si="5"/>
        <v>6</v>
      </c>
      <c r="B45" s="98" t="s">
        <v>911</v>
      </c>
      <c r="C45" s="99" t="s">
        <v>60</v>
      </c>
      <c r="D45" s="100">
        <v>46175</v>
      </c>
      <c r="E45" s="99" t="e">
        <f>VLOOKUP($C45,xe!$A:$B,2,0)</f>
        <v>#N/A</v>
      </c>
      <c r="F45" s="101" t="str">
        <f>VLOOKUP($B45,ma!$A:$B,2,0)</f>
        <v>SEN VIỆT ( K BX )</v>
      </c>
      <c r="G45" s="102" t="s">
        <v>1519</v>
      </c>
      <c r="H45" s="103" t="s">
        <v>1481</v>
      </c>
      <c r="I45" s="104"/>
      <c r="J45" s="126" t="s">
        <v>1520</v>
      </c>
      <c r="K45" s="106">
        <v>2</v>
      </c>
      <c r="L45" s="107"/>
      <c r="M45" s="104"/>
      <c r="N45" s="101"/>
      <c r="O45" s="101">
        <v>1</v>
      </c>
      <c r="P45" s="104">
        <f>VLOOKUP($B45,ma!$A:$C,3,0)</f>
        <v>800000</v>
      </c>
      <c r="Q45" s="108">
        <v>880000</v>
      </c>
      <c r="R45" s="109">
        <v>0.1</v>
      </c>
      <c r="S45" s="110"/>
      <c r="T45" s="110"/>
      <c r="U45" s="110"/>
      <c r="V45" s="110"/>
      <c r="W45" s="110"/>
      <c r="X45" s="110"/>
      <c r="Y45" s="110"/>
      <c r="Z45" s="110"/>
      <c r="AA45" s="110"/>
    </row>
    <row r="46" spans="1:27" ht="14">
      <c r="A46" s="97">
        <f t="shared" si="5"/>
        <v>7</v>
      </c>
      <c r="B46" s="98" t="s">
        <v>911</v>
      </c>
      <c r="C46" s="99" t="s">
        <v>62</v>
      </c>
      <c r="D46" s="100">
        <v>46175</v>
      </c>
      <c r="E46" s="114" t="e">
        <f>VLOOKUP($C46,xe!$A:$B,2,0)</f>
        <v>#N/A</v>
      </c>
      <c r="F46" s="101" t="str">
        <f>VLOOKUP($B46,ma!$A:$B,2,0)</f>
        <v>SEN VIỆT ( K BX )</v>
      </c>
      <c r="G46" s="102" t="s">
        <v>1521</v>
      </c>
      <c r="H46" s="103" t="s">
        <v>1481</v>
      </c>
      <c r="I46" s="104"/>
      <c r="J46" s="126" t="s">
        <v>1520</v>
      </c>
      <c r="K46" s="106">
        <v>2</v>
      </c>
      <c r="L46" s="107"/>
      <c r="M46" s="104"/>
      <c r="N46" s="101"/>
      <c r="O46" s="101">
        <v>1</v>
      </c>
      <c r="P46" s="104">
        <f>VLOOKUP($B46,ma!$A:$C,3,0)</f>
        <v>800000</v>
      </c>
      <c r="Q46" s="108">
        <v>880000</v>
      </c>
      <c r="R46" s="109">
        <v>0.1</v>
      </c>
      <c r="S46" s="110"/>
      <c r="T46" s="110"/>
      <c r="U46" s="110"/>
      <c r="V46" s="110"/>
      <c r="W46" s="110"/>
      <c r="X46" s="110"/>
      <c r="Y46" s="110"/>
      <c r="Z46" s="110"/>
      <c r="AA46" s="110"/>
    </row>
    <row r="47" spans="1:27" ht="14">
      <c r="A47" s="97">
        <f t="shared" si="5"/>
        <v>8</v>
      </c>
      <c r="B47" s="98" t="s">
        <v>911</v>
      </c>
      <c r="C47" s="99" t="s">
        <v>55</v>
      </c>
      <c r="D47" s="100">
        <v>46175</v>
      </c>
      <c r="E47" s="99" t="e">
        <f>VLOOKUP($C47,xe!$A:$B,2,0)</f>
        <v>#N/A</v>
      </c>
      <c r="F47" s="101" t="str">
        <f>VLOOKUP($B47,ma!$A:$B,2,0)</f>
        <v>SEN VIỆT ( K BX )</v>
      </c>
      <c r="G47" s="102" t="s">
        <v>1522</v>
      </c>
      <c r="H47" s="103" t="s">
        <v>1481</v>
      </c>
      <c r="I47" s="104"/>
      <c r="J47" s="126" t="s">
        <v>1520</v>
      </c>
      <c r="K47" s="106">
        <v>2</v>
      </c>
      <c r="L47" s="107"/>
      <c r="M47" s="104"/>
      <c r="N47" s="101"/>
      <c r="O47" s="101">
        <v>1</v>
      </c>
      <c r="P47" s="104">
        <f>VLOOKUP($B47,ma!$A:$C,3,0)</f>
        <v>800000</v>
      </c>
      <c r="Q47" s="108">
        <v>880000</v>
      </c>
      <c r="R47" s="109">
        <v>0.1</v>
      </c>
      <c r="S47" s="110"/>
      <c r="T47" s="110"/>
      <c r="U47" s="110"/>
      <c r="V47" s="110"/>
      <c r="W47" s="110"/>
      <c r="X47" s="110"/>
      <c r="Y47" s="110"/>
      <c r="Z47" s="110"/>
      <c r="AA47" s="110"/>
    </row>
    <row r="48" spans="1:27" ht="14">
      <c r="A48" s="97">
        <f t="shared" si="5"/>
        <v>9</v>
      </c>
      <c r="B48" s="98" t="s">
        <v>959</v>
      </c>
      <c r="C48" s="99" t="s">
        <v>1511</v>
      </c>
      <c r="D48" s="100">
        <v>46175</v>
      </c>
      <c r="E48" s="99" t="str">
        <f>VLOOKUP($C48,xe!$A:$B,2,0)</f>
        <v>50H-54580</v>
      </c>
      <c r="F48" s="101" t="str">
        <f>VLOOKUP($B48,ma!$A:$B,2,0)</f>
        <v>M. HIỆP PHÚ</v>
      </c>
      <c r="G48" s="102" t="s">
        <v>1523</v>
      </c>
      <c r="H48" s="103" t="s">
        <v>1473</v>
      </c>
      <c r="I48" s="104"/>
      <c r="J48" s="126" t="s">
        <v>1520</v>
      </c>
      <c r="K48" s="106">
        <v>2</v>
      </c>
      <c r="L48" s="107">
        <f t="shared" ref="L48:L54" si="6">K48*50000</f>
        <v>100000</v>
      </c>
      <c r="M48" s="104"/>
      <c r="N48" s="101"/>
      <c r="O48" s="101">
        <v>1</v>
      </c>
      <c r="P48" s="104">
        <f>VLOOKUP($B48,ma!$A:$C,3,0)</f>
        <v>800000</v>
      </c>
      <c r="Q48" s="108">
        <v>880000</v>
      </c>
      <c r="R48" s="109">
        <v>0.1</v>
      </c>
      <c r="S48" s="110"/>
      <c r="T48" s="110"/>
      <c r="U48" s="110"/>
      <c r="V48" s="110"/>
      <c r="W48" s="110"/>
      <c r="X48" s="110"/>
      <c r="Y48" s="110"/>
      <c r="Z48" s="110"/>
      <c r="AA48" s="110"/>
    </row>
    <row r="49" spans="1:27" ht="14">
      <c r="A49" s="97">
        <f t="shared" si="5"/>
        <v>10</v>
      </c>
      <c r="B49" s="98" t="s">
        <v>1524</v>
      </c>
      <c r="C49" s="99" t="s">
        <v>8</v>
      </c>
      <c r="D49" s="100">
        <v>46175</v>
      </c>
      <c r="E49" s="99" t="str">
        <f>VLOOKUP($C49,xe!$A:$B,2,0)</f>
        <v>50H-64316</v>
      </c>
      <c r="F49" s="101" t="str">
        <f>VLOOKUP($B49,ma!$A:$B,2,0)</f>
        <v>M. BÌNH PHÚ</v>
      </c>
      <c r="G49" s="102" t="s">
        <v>1525</v>
      </c>
      <c r="H49" s="103" t="s">
        <v>1473</v>
      </c>
      <c r="I49" s="104"/>
      <c r="J49" s="99"/>
      <c r="K49" s="106">
        <v>1.8</v>
      </c>
      <c r="L49" s="107">
        <f t="shared" si="6"/>
        <v>90000</v>
      </c>
      <c r="M49" s="104"/>
      <c r="N49" s="101"/>
      <c r="O49" s="101">
        <v>1</v>
      </c>
      <c r="P49" s="104">
        <f>VLOOKUP($B49,ma!$A:$C,3,0)</f>
        <v>800000</v>
      </c>
      <c r="Q49" s="108">
        <v>880000</v>
      </c>
      <c r="R49" s="109">
        <v>0.1</v>
      </c>
      <c r="S49" s="110"/>
      <c r="T49" s="110"/>
      <c r="U49" s="110"/>
      <c r="V49" s="110"/>
      <c r="W49" s="110"/>
      <c r="X49" s="110"/>
      <c r="Y49" s="110"/>
      <c r="Z49" s="110"/>
      <c r="AA49" s="110"/>
    </row>
    <row r="50" spans="1:27" ht="14">
      <c r="A50" s="97">
        <f t="shared" si="5"/>
        <v>11</v>
      </c>
      <c r="B50" s="98" t="s">
        <v>1059</v>
      </c>
      <c r="C50" s="99" t="s">
        <v>24</v>
      </c>
      <c r="D50" s="100">
        <v>46175</v>
      </c>
      <c r="E50" s="99" t="str">
        <f>VLOOKUP($C50,xe!$A:$B,2,0)</f>
        <v>50H-55161</v>
      </c>
      <c r="F50" s="101" t="str">
        <f>VLOOKUP($B50,ma!$A:$B,2,0)</f>
        <v>BIG C AN LAC</v>
      </c>
      <c r="G50" s="102" t="s">
        <v>1526</v>
      </c>
      <c r="H50" s="103" t="s">
        <v>1473</v>
      </c>
      <c r="I50" s="104"/>
      <c r="J50" s="99"/>
      <c r="K50" s="106">
        <v>1.6</v>
      </c>
      <c r="L50" s="107">
        <f t="shared" si="6"/>
        <v>80000</v>
      </c>
      <c r="M50" s="104"/>
      <c r="N50" s="101"/>
      <c r="O50" s="101">
        <v>1</v>
      </c>
      <c r="P50" s="104">
        <f>VLOOKUP($B50,ma!$A:$C,3,0)</f>
        <v>800000</v>
      </c>
      <c r="Q50" s="108">
        <v>880000</v>
      </c>
      <c r="R50" s="109">
        <v>0.1</v>
      </c>
      <c r="S50" s="110"/>
      <c r="T50" s="110"/>
      <c r="U50" s="110"/>
      <c r="V50" s="110"/>
      <c r="W50" s="110"/>
      <c r="X50" s="110"/>
      <c r="Y50" s="110"/>
      <c r="Z50" s="110"/>
      <c r="AA50" s="110"/>
    </row>
    <row r="51" spans="1:27" ht="14">
      <c r="A51" s="97">
        <f t="shared" si="5"/>
        <v>12</v>
      </c>
      <c r="B51" s="98" t="s">
        <v>1059</v>
      </c>
      <c r="C51" s="99" t="s">
        <v>30</v>
      </c>
      <c r="D51" s="100">
        <v>46175</v>
      </c>
      <c r="E51" s="99" t="str">
        <f>VLOOKUP($C51,xe!$A:$B,2,0)</f>
        <v>50H-63174</v>
      </c>
      <c r="F51" s="101" t="str">
        <f>VLOOKUP($B51,ma!$A:$B,2,0)</f>
        <v>BIG C AN LAC</v>
      </c>
      <c r="G51" s="102" t="s">
        <v>1527</v>
      </c>
      <c r="H51" s="103" t="s">
        <v>1473</v>
      </c>
      <c r="I51" s="104"/>
      <c r="J51" s="99"/>
      <c r="K51" s="106">
        <v>1.8</v>
      </c>
      <c r="L51" s="107">
        <f t="shared" si="6"/>
        <v>90000</v>
      </c>
      <c r="M51" s="104"/>
      <c r="N51" s="101"/>
      <c r="O51" s="101">
        <v>1</v>
      </c>
      <c r="P51" s="104">
        <f>VLOOKUP($B51,ma!$A:$C,3,0)</f>
        <v>800000</v>
      </c>
      <c r="Q51" s="108">
        <v>880000</v>
      </c>
      <c r="R51" s="109">
        <v>0.1</v>
      </c>
      <c r="S51" s="110"/>
      <c r="T51" s="110"/>
      <c r="U51" s="110"/>
      <c r="V51" s="110"/>
      <c r="W51" s="110"/>
      <c r="X51" s="110"/>
      <c r="Y51" s="110"/>
      <c r="Z51" s="110"/>
      <c r="AA51" s="110"/>
    </row>
    <row r="52" spans="1:27" ht="14">
      <c r="A52" s="97">
        <f t="shared" si="5"/>
        <v>13</v>
      </c>
      <c r="B52" s="98" t="s">
        <v>1059</v>
      </c>
      <c r="C52" s="99" t="s">
        <v>1505</v>
      </c>
      <c r="D52" s="100">
        <v>46175</v>
      </c>
      <c r="E52" s="99" t="str">
        <f>VLOOKUP($C52,xe!$A:$B,2,0)</f>
        <v>50H 87442</v>
      </c>
      <c r="F52" s="101" t="str">
        <f>VLOOKUP($B52,ma!$A:$B,2,0)</f>
        <v>BIG C AN LAC</v>
      </c>
      <c r="G52" s="102" t="s">
        <v>1528</v>
      </c>
      <c r="H52" s="103" t="s">
        <v>1473</v>
      </c>
      <c r="I52" s="104"/>
      <c r="J52" s="105" t="s">
        <v>1529</v>
      </c>
      <c r="K52" s="106">
        <v>1.6</v>
      </c>
      <c r="L52" s="107">
        <f t="shared" si="6"/>
        <v>80000</v>
      </c>
      <c r="M52" s="104"/>
      <c r="N52" s="101"/>
      <c r="O52" s="101">
        <v>1</v>
      </c>
      <c r="P52" s="104">
        <f>VLOOKUP($B52,ma!$A:$C,3,0)</f>
        <v>800000</v>
      </c>
      <c r="Q52" s="108">
        <v>880000</v>
      </c>
      <c r="R52" s="109">
        <v>0.1</v>
      </c>
      <c r="S52" s="110"/>
      <c r="T52" s="110"/>
      <c r="U52" s="110"/>
      <c r="V52" s="110"/>
      <c r="W52" s="110"/>
      <c r="X52" s="110"/>
      <c r="Y52" s="110"/>
      <c r="Z52" s="110"/>
      <c r="AA52" s="110"/>
    </row>
    <row r="53" spans="1:27" ht="14">
      <c r="A53" s="97">
        <f t="shared" si="5"/>
        <v>14</v>
      </c>
      <c r="B53" s="98" t="s">
        <v>1186</v>
      </c>
      <c r="C53" s="99" t="s">
        <v>20</v>
      </c>
      <c r="D53" s="100">
        <v>46175</v>
      </c>
      <c r="E53" s="99" t="str">
        <f>VLOOKUP($C53,xe!$A:$B,2,0)</f>
        <v>50H-64470</v>
      </c>
      <c r="F53" s="101" t="str">
        <f>VLOOKUP($B53,ma!$A:$B,2,0)</f>
        <v>SATRA SÀI GÒN</v>
      </c>
      <c r="G53" s="102" t="s">
        <v>1530</v>
      </c>
      <c r="H53" s="103" t="s">
        <v>1473</v>
      </c>
      <c r="I53" s="104"/>
      <c r="J53" s="99"/>
      <c r="K53" s="106">
        <v>1.2</v>
      </c>
      <c r="L53" s="107">
        <f t="shared" si="6"/>
        <v>60000</v>
      </c>
      <c r="M53" s="104"/>
      <c r="N53" s="101"/>
      <c r="O53" s="101">
        <v>1</v>
      </c>
      <c r="P53" s="104">
        <f>VLOOKUP($B53,ma!$A:$C,3,0)</f>
        <v>800000</v>
      </c>
      <c r="Q53" s="108">
        <v>880000</v>
      </c>
      <c r="R53" s="109">
        <v>0.1</v>
      </c>
      <c r="S53" s="110"/>
      <c r="T53" s="110"/>
      <c r="U53" s="110"/>
      <c r="V53" s="110"/>
      <c r="W53" s="110"/>
      <c r="X53" s="110"/>
      <c r="Y53" s="110"/>
      <c r="Z53" s="110"/>
      <c r="AA53" s="110"/>
    </row>
    <row r="54" spans="1:27" ht="14">
      <c r="A54" s="97">
        <f t="shared" si="5"/>
        <v>15</v>
      </c>
      <c r="B54" s="98" t="s">
        <v>1531</v>
      </c>
      <c r="C54" s="99" t="s">
        <v>58</v>
      </c>
      <c r="D54" s="100">
        <v>46175</v>
      </c>
      <c r="E54" s="99" t="e">
        <f>VLOOKUP($C54,xe!$A:$B,2,0)</f>
        <v>#N/A</v>
      </c>
      <c r="F54" s="101" t="str">
        <f>VLOOKUP($B54,ma!$A:$B,2,0)</f>
        <v>SATRA VIETTEL</v>
      </c>
      <c r="G54" s="102" t="s">
        <v>1532</v>
      </c>
      <c r="H54" s="103" t="s">
        <v>1518</v>
      </c>
      <c r="I54" s="104"/>
      <c r="J54" s="99"/>
      <c r="K54" s="106"/>
      <c r="L54" s="107">
        <f t="shared" si="6"/>
        <v>0</v>
      </c>
      <c r="M54" s="104"/>
      <c r="N54" s="101"/>
      <c r="O54" s="101">
        <v>1</v>
      </c>
      <c r="P54" s="104">
        <f>VLOOKUP($B54,ma!$A:$C,3,0)</f>
        <v>800000</v>
      </c>
      <c r="Q54" s="108">
        <v>880000</v>
      </c>
      <c r="R54" s="109">
        <v>0.1</v>
      </c>
      <c r="S54" s="110"/>
      <c r="T54" s="110"/>
      <c r="U54" s="110"/>
      <c r="V54" s="110"/>
      <c r="W54" s="110"/>
      <c r="X54" s="110"/>
      <c r="Y54" s="110"/>
      <c r="Z54" s="110"/>
      <c r="AA54" s="110"/>
    </row>
    <row r="55" spans="1:27" ht="14">
      <c r="A55" s="97">
        <f t="shared" si="5"/>
        <v>16</v>
      </c>
      <c r="B55" s="98" t="s">
        <v>851</v>
      </c>
      <c r="C55" s="99" t="s">
        <v>26</v>
      </c>
      <c r="D55" s="100">
        <v>46175</v>
      </c>
      <c r="E55" s="99" t="str">
        <f>VLOOKUP($C55,xe!$A:$B,2,0)</f>
        <v>50H-55443</v>
      </c>
      <c r="F55" s="101" t="str">
        <f>VLOOKUP($B55,ma!$A:$B,2,0)</f>
        <v>VỊ NGỌT HAPPY ( K BX )</v>
      </c>
      <c r="G55" s="102" t="s">
        <v>1533</v>
      </c>
      <c r="H55" s="103" t="s">
        <v>1473</v>
      </c>
      <c r="I55" s="104"/>
      <c r="J55" s="99"/>
      <c r="K55" s="106">
        <v>2.2000000000000002</v>
      </c>
      <c r="L55" s="107">
        <v>50000</v>
      </c>
      <c r="M55" s="104"/>
      <c r="N55" s="101"/>
      <c r="O55" s="101">
        <v>1</v>
      </c>
      <c r="P55" s="104">
        <f>VLOOKUP($B55,ma!$A:$C,3,0)</f>
        <v>800000</v>
      </c>
      <c r="Q55" s="108">
        <v>880000</v>
      </c>
      <c r="R55" s="109">
        <v>0.1</v>
      </c>
      <c r="S55" s="110"/>
      <c r="T55" s="110"/>
      <c r="U55" s="110"/>
      <c r="V55" s="110"/>
      <c r="W55" s="110"/>
      <c r="X55" s="110"/>
      <c r="Y55" s="110"/>
      <c r="Z55" s="110"/>
      <c r="AA55" s="110"/>
    </row>
    <row r="56" spans="1:27" ht="14">
      <c r="A56" s="97">
        <f t="shared" si="5"/>
        <v>17</v>
      </c>
      <c r="B56" s="98" t="s">
        <v>851</v>
      </c>
      <c r="C56" s="99" t="s">
        <v>6</v>
      </c>
      <c r="D56" s="100">
        <v>46175</v>
      </c>
      <c r="E56" s="99" t="str">
        <f>VLOOKUP($C56,xe!$A:$B,2,0)</f>
        <v>50H-69501</v>
      </c>
      <c r="F56" s="101" t="str">
        <f>VLOOKUP($B56,ma!$A:$B,2,0)</f>
        <v>VỊ NGỌT HAPPY ( K BX )</v>
      </c>
      <c r="G56" s="102" t="s">
        <v>1534</v>
      </c>
      <c r="H56" s="103" t="s">
        <v>1473</v>
      </c>
      <c r="I56" s="104"/>
      <c r="J56" s="99"/>
      <c r="K56" s="106">
        <v>2.2000000000000002</v>
      </c>
      <c r="L56" s="107">
        <v>50000</v>
      </c>
      <c r="M56" s="104"/>
      <c r="N56" s="101"/>
      <c r="O56" s="101">
        <v>1</v>
      </c>
      <c r="P56" s="104">
        <f>VLOOKUP($B56,ma!$A:$C,3,0)</f>
        <v>800000</v>
      </c>
      <c r="Q56" s="108">
        <v>880000</v>
      </c>
      <c r="R56" s="109">
        <v>0.1</v>
      </c>
      <c r="S56" s="110"/>
      <c r="T56" s="110"/>
      <c r="U56" s="110"/>
      <c r="V56" s="110"/>
      <c r="W56" s="110"/>
      <c r="X56" s="110"/>
      <c r="Y56" s="110"/>
      <c r="Z56" s="110"/>
      <c r="AA56" s="110"/>
    </row>
    <row r="57" spans="1:27" ht="14">
      <c r="A57" s="97">
        <f t="shared" si="5"/>
        <v>18</v>
      </c>
      <c r="B57" s="98" t="s">
        <v>851</v>
      </c>
      <c r="C57" s="99" t="s">
        <v>22</v>
      </c>
      <c r="D57" s="100">
        <v>46175</v>
      </c>
      <c r="E57" s="99" t="str">
        <f>VLOOKUP($C57,xe!$A:$B,2,0)</f>
        <v>50H-66445</v>
      </c>
      <c r="F57" s="101" t="str">
        <f>VLOOKUP($B57,ma!$A:$B,2,0)</f>
        <v>VỊ NGỌT HAPPY ( K BX )</v>
      </c>
      <c r="G57" s="102" t="s">
        <v>1535</v>
      </c>
      <c r="H57" s="103" t="s">
        <v>1473</v>
      </c>
      <c r="I57" s="104"/>
      <c r="J57" s="99"/>
      <c r="K57" s="106">
        <v>2.2000000000000002</v>
      </c>
      <c r="L57" s="107">
        <v>50000</v>
      </c>
      <c r="M57" s="104"/>
      <c r="N57" s="101"/>
      <c r="O57" s="101">
        <v>1</v>
      </c>
      <c r="P57" s="104">
        <f>VLOOKUP($B57,ma!$A:$C,3,0)</f>
        <v>800000</v>
      </c>
      <c r="Q57" s="108">
        <v>880000</v>
      </c>
      <c r="R57" s="109">
        <v>0.1</v>
      </c>
      <c r="S57" s="110"/>
      <c r="T57" s="110"/>
      <c r="U57" s="110"/>
      <c r="V57" s="110"/>
      <c r="W57" s="110"/>
      <c r="X57" s="110"/>
      <c r="Y57" s="110"/>
      <c r="Z57" s="110"/>
      <c r="AA57" s="110"/>
    </row>
    <row r="58" spans="1:27" ht="14">
      <c r="A58" s="97">
        <f t="shared" si="5"/>
        <v>19</v>
      </c>
      <c r="B58" s="98" t="s">
        <v>452</v>
      </c>
      <c r="C58" s="99" t="s">
        <v>1509</v>
      </c>
      <c r="D58" s="100">
        <v>46175</v>
      </c>
      <c r="E58" s="99" t="str">
        <f>VLOOKUP($C58,xe!$A:$B,2,0)</f>
        <v>50H-70216</v>
      </c>
      <c r="F58" s="101" t="str">
        <f>VLOOKUP($B58,ma!$A:$B,2,0)</f>
        <v>NGUYỄN TRƯƠNG</v>
      </c>
      <c r="G58" s="102" t="s">
        <v>1536</v>
      </c>
      <c r="H58" s="103" t="s">
        <v>1473</v>
      </c>
      <c r="I58" s="104"/>
      <c r="J58" s="99"/>
      <c r="K58" s="106">
        <v>1.2</v>
      </c>
      <c r="L58" s="107">
        <f t="shared" ref="L58:L60" si="7">K58*50000</f>
        <v>60000</v>
      </c>
      <c r="M58" s="104"/>
      <c r="N58" s="101"/>
      <c r="O58" s="101">
        <v>1</v>
      </c>
      <c r="P58" s="104">
        <f>VLOOKUP($B58,ma!$A:$C,3,0)</f>
        <v>800000</v>
      </c>
      <c r="Q58" s="108">
        <v>880000</v>
      </c>
      <c r="R58" s="109">
        <v>0.1</v>
      </c>
      <c r="S58" s="110"/>
      <c r="T58" s="110"/>
      <c r="U58" s="110"/>
      <c r="V58" s="110"/>
      <c r="W58" s="110"/>
      <c r="X58" s="110"/>
      <c r="Y58" s="110"/>
      <c r="Z58" s="110"/>
      <c r="AA58" s="110"/>
    </row>
    <row r="59" spans="1:27" ht="14">
      <c r="A59" s="97">
        <f t="shared" si="5"/>
        <v>20</v>
      </c>
      <c r="B59" s="98" t="s">
        <v>1537</v>
      </c>
      <c r="C59" s="99" t="s">
        <v>1538</v>
      </c>
      <c r="D59" s="100">
        <v>46175</v>
      </c>
      <c r="E59" s="99" t="str">
        <f>VLOOKUP($C59,xe!$A:$B,2,0)</f>
        <v>50E-164,61</v>
      </c>
      <c r="F59" s="101" t="str">
        <f>VLOOKUP($B59,ma!$A:$B,2,0)</f>
        <v>MN VĨNH THẠNH</v>
      </c>
      <c r="G59" s="102" t="s">
        <v>1539</v>
      </c>
      <c r="H59" s="103" t="s">
        <v>1473</v>
      </c>
      <c r="I59" s="104"/>
      <c r="J59" s="105" t="s">
        <v>1540</v>
      </c>
      <c r="K59" s="112">
        <v>2.4</v>
      </c>
      <c r="L59" s="113">
        <f t="shared" si="7"/>
        <v>120000</v>
      </c>
      <c r="M59" s="104"/>
      <c r="N59" s="101"/>
      <c r="O59" s="101">
        <v>1</v>
      </c>
      <c r="P59" s="104">
        <f>VLOOKUP($B59,ma!$A:$C,3,0)</f>
        <v>800000</v>
      </c>
      <c r="Q59" s="108">
        <v>1460000</v>
      </c>
      <c r="R59" s="109">
        <v>0.1</v>
      </c>
      <c r="S59" s="110"/>
      <c r="T59" s="110"/>
      <c r="U59" s="110"/>
      <c r="V59" s="110"/>
      <c r="W59" s="110"/>
      <c r="X59" s="110"/>
      <c r="Y59" s="110"/>
      <c r="Z59" s="110"/>
      <c r="AA59" s="110"/>
    </row>
    <row r="60" spans="1:27" ht="14">
      <c r="A60" s="97">
        <f t="shared" si="5"/>
        <v>21</v>
      </c>
      <c r="B60" s="98" t="s">
        <v>775</v>
      </c>
      <c r="C60" s="99" t="s">
        <v>10</v>
      </c>
      <c r="D60" s="100">
        <v>46175</v>
      </c>
      <c r="E60" s="99" t="str">
        <f>VLOOKUP($C60,xe!$A:$B,2,0)</f>
        <v>50H-50999</v>
      </c>
      <c r="F60" s="101" t="str">
        <f>VLOOKUP($B60,ma!$A:$B,2,0)</f>
        <v>HUBCAKE</v>
      </c>
      <c r="G60" s="102" t="s">
        <v>1541</v>
      </c>
      <c r="H60" s="103" t="s">
        <v>1473</v>
      </c>
      <c r="I60" s="104"/>
      <c r="J60" s="105" t="s">
        <v>1542</v>
      </c>
      <c r="K60" s="112">
        <v>1</v>
      </c>
      <c r="L60" s="113">
        <f t="shared" si="7"/>
        <v>50000</v>
      </c>
      <c r="M60" s="104"/>
      <c r="N60" s="101"/>
      <c r="O60" s="101">
        <v>1</v>
      </c>
      <c r="P60" s="104">
        <f>VLOOKUP($B60,ma!$A:$C,3,0)</f>
        <v>800000</v>
      </c>
      <c r="Q60" s="108">
        <v>300000</v>
      </c>
      <c r="R60" s="109">
        <v>0.1</v>
      </c>
      <c r="S60" s="110"/>
      <c r="T60" s="110"/>
      <c r="U60" s="110"/>
      <c r="V60" s="110"/>
      <c r="W60" s="110"/>
      <c r="X60" s="110"/>
      <c r="Y60" s="110"/>
      <c r="Z60" s="110"/>
      <c r="AA60" s="110"/>
    </row>
    <row r="61" spans="1:27" ht="14">
      <c r="A61" s="97">
        <f t="shared" si="5"/>
        <v>22</v>
      </c>
      <c r="B61" s="98" t="s">
        <v>579</v>
      </c>
      <c r="C61" s="99" t="s">
        <v>16</v>
      </c>
      <c r="D61" s="100">
        <v>46175</v>
      </c>
      <c r="E61" s="99" t="str">
        <f>VLOOKUP($C61,xe!$A:$B,2,0)</f>
        <v>50H-74619</v>
      </c>
      <c r="F61" s="101" t="str">
        <f>VLOOKUP($B61,ma!$A:$B,2,0)</f>
        <v>LAM TÂN T.ĐỨC ( K BX)</v>
      </c>
      <c r="G61" s="102" t="s">
        <v>1543</v>
      </c>
      <c r="H61" s="103" t="s">
        <v>1481</v>
      </c>
      <c r="I61" s="104"/>
      <c r="J61" s="99"/>
      <c r="K61" s="106">
        <v>1.4</v>
      </c>
      <c r="L61" s="107">
        <v>50000</v>
      </c>
      <c r="M61" s="104"/>
      <c r="N61" s="101"/>
      <c r="O61" s="101">
        <v>1</v>
      </c>
      <c r="P61" s="104">
        <f>VLOOKUP($B61,ma!$A:$C,3,0)</f>
        <v>800000</v>
      </c>
      <c r="Q61" s="108">
        <v>880000</v>
      </c>
      <c r="R61" s="109">
        <v>0.1</v>
      </c>
      <c r="S61" s="110"/>
      <c r="T61" s="110"/>
      <c r="U61" s="110"/>
      <c r="V61" s="110"/>
      <c r="W61" s="110"/>
      <c r="X61" s="110"/>
      <c r="Y61" s="110"/>
      <c r="Z61" s="110"/>
      <c r="AA61" s="110"/>
    </row>
    <row r="62" spans="1:27" ht="14">
      <c r="A62" s="97">
        <f t="shared" si="5"/>
        <v>23</v>
      </c>
      <c r="B62" s="98" t="s">
        <v>1544</v>
      </c>
      <c r="C62" s="99" t="s">
        <v>10</v>
      </c>
      <c r="D62" s="100">
        <v>46175</v>
      </c>
      <c r="E62" s="99" t="str">
        <f>VLOOKUP($C62,xe!$A:$B,2,0)</f>
        <v>50H-50999</v>
      </c>
      <c r="F62" s="101" t="str">
        <f>VLOOKUP($B62,ma!$A:$B,2,0)</f>
        <v>CHOLIMEX BINH CHÁNH ( KBX )</v>
      </c>
      <c r="G62" s="102" t="s">
        <v>1545</v>
      </c>
      <c r="H62" s="103" t="s">
        <v>1473</v>
      </c>
      <c r="I62" s="104"/>
      <c r="J62" s="99"/>
      <c r="K62" s="106">
        <v>1.6</v>
      </c>
      <c r="L62" s="107">
        <v>50000</v>
      </c>
      <c r="M62" s="104"/>
      <c r="N62" s="101"/>
      <c r="O62" s="101">
        <v>1</v>
      </c>
      <c r="P62" s="104">
        <f>VLOOKUP($B62,ma!$A:$C,3,0)</f>
        <v>800000</v>
      </c>
      <c r="Q62" s="108">
        <v>880000</v>
      </c>
      <c r="R62" s="109">
        <v>0.1</v>
      </c>
      <c r="S62" s="110"/>
      <c r="T62" s="110"/>
      <c r="U62" s="110"/>
      <c r="V62" s="110"/>
      <c r="W62" s="110"/>
      <c r="X62" s="110"/>
      <c r="Y62" s="110"/>
      <c r="Z62" s="110"/>
      <c r="AA62" s="110"/>
    </row>
    <row r="63" spans="1:27" ht="14">
      <c r="A63" s="97">
        <f t="shared" si="5"/>
        <v>24</v>
      </c>
      <c r="B63" s="98" t="s">
        <v>1546</v>
      </c>
      <c r="C63" s="99" t="s">
        <v>1488</v>
      </c>
      <c r="D63" s="100">
        <v>46175</v>
      </c>
      <c r="E63" s="99" t="e">
        <f>VLOOKUP($C63,xe!$A:$B,2,0)</f>
        <v>#N/A</v>
      </c>
      <c r="F63" s="101" t="str">
        <f>VLOOKUP($B63,ma!$A:$B,2,0)</f>
        <v>BHX NHÀ BÈ</v>
      </c>
      <c r="G63" s="102" t="s">
        <v>1547</v>
      </c>
      <c r="H63" s="103" t="s">
        <v>1473</v>
      </c>
      <c r="I63" s="104"/>
      <c r="J63" s="99"/>
      <c r="K63" s="106">
        <v>1.6</v>
      </c>
      <c r="L63" s="107">
        <f>K63*80000</f>
        <v>128000</v>
      </c>
      <c r="M63" s="104"/>
      <c r="N63" s="101"/>
      <c r="O63" s="101">
        <v>1</v>
      </c>
      <c r="P63" s="104">
        <f>VLOOKUP($B63,ma!$A:$C,3,0)</f>
        <v>400000</v>
      </c>
      <c r="Q63" s="108">
        <v>440000</v>
      </c>
      <c r="R63" s="109">
        <v>0.1</v>
      </c>
      <c r="S63" s="110"/>
      <c r="T63" s="110"/>
      <c r="U63" s="110"/>
      <c r="V63" s="110"/>
      <c r="W63" s="110"/>
      <c r="X63" s="110"/>
      <c r="Y63" s="110"/>
      <c r="Z63" s="110"/>
      <c r="AA63" s="110"/>
    </row>
    <row r="64" spans="1:27" ht="14">
      <c r="A64" s="97">
        <f t="shared" si="5"/>
        <v>25</v>
      </c>
      <c r="B64" s="98" t="s">
        <v>1546</v>
      </c>
      <c r="C64" s="99" t="s">
        <v>1509</v>
      </c>
      <c r="D64" s="100">
        <v>46175</v>
      </c>
      <c r="E64" s="99" t="str">
        <f>VLOOKUP($C64,xe!$A:$B,2,0)</f>
        <v>50H-70216</v>
      </c>
      <c r="F64" s="101" t="str">
        <f>VLOOKUP($B64,ma!$A:$B,2,0)</f>
        <v>BHX NHÀ BÈ</v>
      </c>
      <c r="G64" s="102" t="s">
        <v>1548</v>
      </c>
      <c r="H64" s="103" t="s">
        <v>1473</v>
      </c>
      <c r="I64" s="104"/>
      <c r="J64" s="99"/>
      <c r="K64" s="106">
        <v>1.6</v>
      </c>
      <c r="L64" s="113">
        <v>160000</v>
      </c>
      <c r="M64" s="104"/>
      <c r="N64" s="101"/>
      <c r="O64" s="101">
        <v>1</v>
      </c>
      <c r="P64" s="104">
        <f>VLOOKUP($B64,ma!$A:$C,3,0)</f>
        <v>400000</v>
      </c>
      <c r="Q64" s="108">
        <v>440000</v>
      </c>
      <c r="R64" s="109">
        <v>0.1</v>
      </c>
      <c r="S64" s="110"/>
      <c r="T64" s="110"/>
      <c r="U64" s="110"/>
      <c r="V64" s="110"/>
      <c r="W64" s="110"/>
      <c r="X64" s="110"/>
      <c r="Y64" s="110"/>
      <c r="Z64" s="110"/>
      <c r="AA64" s="110"/>
    </row>
    <row r="65" spans="1:27" ht="14">
      <c r="A65" s="97">
        <f t="shared" si="5"/>
        <v>26</v>
      </c>
      <c r="B65" s="98" t="s">
        <v>1117</v>
      </c>
      <c r="C65" s="99" t="s">
        <v>1549</v>
      </c>
      <c r="D65" s="100">
        <v>46175</v>
      </c>
      <c r="E65" s="99" t="str">
        <f>VLOOKUP($C65,xe!$A:$B,2,0)</f>
        <v>50H-55443</v>
      </c>
      <c r="F65" s="101" t="str">
        <f>VLOOKUP($B65,ma!$A:$B,2,0)</f>
        <v>BHX CẦN ĐƯỚC</v>
      </c>
      <c r="G65" s="102" t="s">
        <v>1550</v>
      </c>
      <c r="H65" s="103" t="s">
        <v>1473</v>
      </c>
      <c r="I65" s="104"/>
      <c r="J65" s="105" t="s">
        <v>1551</v>
      </c>
      <c r="K65" s="112">
        <v>1</v>
      </c>
      <c r="L65" s="113">
        <f>K65*50000</f>
        <v>50000</v>
      </c>
      <c r="M65" s="104"/>
      <c r="N65" s="101"/>
      <c r="O65" s="101">
        <v>1</v>
      </c>
      <c r="P65" s="104">
        <f>VLOOKUP($B65,ma!$A:$C,3,0)</f>
        <v>900000</v>
      </c>
      <c r="Q65" s="108">
        <v>300000</v>
      </c>
      <c r="R65" s="109">
        <v>0.1</v>
      </c>
      <c r="S65" s="110"/>
      <c r="T65" s="110"/>
      <c r="U65" s="110"/>
      <c r="V65" s="110"/>
      <c r="W65" s="110"/>
      <c r="X65" s="110"/>
      <c r="Y65" s="110"/>
      <c r="Z65" s="110"/>
      <c r="AA65" s="110"/>
    </row>
    <row r="66" spans="1:27" ht="14">
      <c r="A66" s="97">
        <f t="shared" si="5"/>
        <v>27</v>
      </c>
      <c r="B66" s="98" t="s">
        <v>1117</v>
      </c>
      <c r="C66" s="99" t="s">
        <v>1552</v>
      </c>
      <c r="D66" s="100">
        <v>46175</v>
      </c>
      <c r="E66" s="99" t="str">
        <f>VLOOKUP($C66,xe!$A:$B,2,0)</f>
        <v>50H-64470</v>
      </c>
      <c r="F66" s="101" t="str">
        <f>VLOOKUP($B66,ma!$A:$B,2,0)</f>
        <v>BHX CẦN ĐƯỚC</v>
      </c>
      <c r="G66" s="102" t="s">
        <v>1553</v>
      </c>
      <c r="H66" s="103" t="s">
        <v>1473</v>
      </c>
      <c r="I66" s="104"/>
      <c r="J66" s="99"/>
      <c r="K66" s="106">
        <v>1.4</v>
      </c>
      <c r="L66" s="113">
        <v>190000</v>
      </c>
      <c r="M66" s="104"/>
      <c r="N66" s="101"/>
      <c r="O66" s="101">
        <v>1</v>
      </c>
      <c r="P66" s="104">
        <f>VLOOKUP($B66,ma!$A:$C,3,0)</f>
        <v>900000</v>
      </c>
      <c r="Q66" s="108">
        <v>990000</v>
      </c>
      <c r="R66" s="109">
        <v>0.1</v>
      </c>
      <c r="S66" s="110"/>
      <c r="T66" s="110"/>
      <c r="U66" s="110"/>
      <c r="V66" s="110"/>
      <c r="W66" s="110"/>
      <c r="X66" s="110"/>
      <c r="Y66" s="110"/>
      <c r="Z66" s="110"/>
      <c r="AA66" s="110"/>
    </row>
    <row r="67" spans="1:27" ht="14">
      <c r="A67" s="97">
        <f t="shared" si="5"/>
        <v>28</v>
      </c>
      <c r="B67" s="98" t="s">
        <v>1115</v>
      </c>
      <c r="C67" s="99" t="s">
        <v>1554</v>
      </c>
      <c r="D67" s="100">
        <v>46175</v>
      </c>
      <c r="E67" s="99" t="str">
        <f>VLOOKUP($C67,xe!$A:$B,2,0)</f>
        <v>50H-63174</v>
      </c>
      <c r="F67" s="101" t="str">
        <f>VLOOKUP($B67,ma!$A:$B,2,0)</f>
        <v>BHX ( TĐN)</v>
      </c>
      <c r="G67" s="102" t="s">
        <v>1555</v>
      </c>
      <c r="H67" s="103" t="s">
        <v>1473</v>
      </c>
      <c r="I67" s="104"/>
      <c r="J67" s="105" t="s">
        <v>1556</v>
      </c>
      <c r="K67" s="112">
        <v>2</v>
      </c>
      <c r="L67" s="113">
        <v>190000</v>
      </c>
      <c r="M67" s="104"/>
      <c r="N67" s="101"/>
      <c r="O67" s="101">
        <v>1</v>
      </c>
      <c r="P67" s="104">
        <f>VLOOKUP($B67,ma!$A:$C,3,0)</f>
        <v>800000</v>
      </c>
      <c r="Q67" s="108">
        <v>1080000</v>
      </c>
      <c r="R67" s="109">
        <v>0.1</v>
      </c>
      <c r="S67" s="110"/>
      <c r="T67" s="110"/>
      <c r="U67" s="110"/>
      <c r="V67" s="110"/>
      <c r="W67" s="110"/>
      <c r="X67" s="110"/>
      <c r="Y67" s="110"/>
      <c r="Z67" s="110"/>
      <c r="AA67" s="110"/>
    </row>
    <row r="68" spans="1:27" ht="14">
      <c r="A68" s="97">
        <f t="shared" si="5"/>
        <v>29</v>
      </c>
      <c r="B68" s="98" t="s">
        <v>1115</v>
      </c>
      <c r="C68" s="99" t="s">
        <v>24</v>
      </c>
      <c r="D68" s="100">
        <v>46175</v>
      </c>
      <c r="E68" s="99" t="str">
        <f>VLOOKUP($C68,xe!$A:$B,2,0)</f>
        <v>50H-55161</v>
      </c>
      <c r="F68" s="101" t="str">
        <f>VLOOKUP($B68,ma!$A:$B,2,0)</f>
        <v>BHX ( TĐN)</v>
      </c>
      <c r="G68" s="102" t="s">
        <v>1557</v>
      </c>
      <c r="H68" s="103" t="s">
        <v>1473</v>
      </c>
      <c r="I68" s="104"/>
      <c r="J68" s="105" t="s">
        <v>1556</v>
      </c>
      <c r="K68" s="112">
        <v>2</v>
      </c>
      <c r="L68" s="113">
        <v>190000</v>
      </c>
      <c r="M68" s="104"/>
      <c r="N68" s="101"/>
      <c r="O68" s="101">
        <v>1</v>
      </c>
      <c r="P68" s="104">
        <f>VLOOKUP($B68,ma!$A:$C,3,0)</f>
        <v>800000</v>
      </c>
      <c r="Q68" s="108">
        <v>1080000</v>
      </c>
      <c r="R68" s="109">
        <v>0.1</v>
      </c>
      <c r="S68" s="110"/>
      <c r="T68" s="110"/>
      <c r="U68" s="110"/>
      <c r="V68" s="110"/>
      <c r="W68" s="110"/>
      <c r="X68" s="110"/>
      <c r="Y68" s="110"/>
      <c r="Z68" s="110"/>
      <c r="AA68" s="110"/>
    </row>
    <row r="69" spans="1:27" ht="14">
      <c r="A69" s="97">
        <f t="shared" si="5"/>
        <v>30</v>
      </c>
      <c r="B69" s="98" t="s">
        <v>1115</v>
      </c>
      <c r="C69" s="99" t="s">
        <v>1503</v>
      </c>
      <c r="D69" s="100">
        <v>46175</v>
      </c>
      <c r="E69" s="99" t="str">
        <f>VLOOKUP($C69,xe!$A:$B,2,0)</f>
        <v>50E-164,61</v>
      </c>
      <c r="F69" s="101" t="str">
        <f>VLOOKUP($B69,ma!$A:$B,2,0)</f>
        <v>BHX ( TĐN)</v>
      </c>
      <c r="G69" s="102" t="s">
        <v>1558</v>
      </c>
      <c r="H69" s="103" t="s">
        <v>1473</v>
      </c>
      <c r="I69" s="104"/>
      <c r="J69" s="105" t="s">
        <v>1556</v>
      </c>
      <c r="K69" s="112">
        <v>2</v>
      </c>
      <c r="L69" s="113">
        <v>190000</v>
      </c>
      <c r="M69" s="104"/>
      <c r="N69" s="101"/>
      <c r="O69" s="101">
        <v>1</v>
      </c>
      <c r="P69" s="104">
        <f>VLOOKUP($B69,ma!$A:$C,3,0)</f>
        <v>800000</v>
      </c>
      <c r="Q69" s="108">
        <v>1080000</v>
      </c>
      <c r="R69" s="109">
        <v>0.1</v>
      </c>
      <c r="S69" s="110"/>
      <c r="T69" s="110"/>
      <c r="U69" s="110"/>
      <c r="V69" s="110"/>
      <c r="W69" s="110"/>
      <c r="X69" s="110"/>
      <c r="Y69" s="110"/>
      <c r="Z69" s="110"/>
      <c r="AA69" s="110"/>
    </row>
    <row r="70" spans="1:27" ht="14">
      <c r="A70" s="97">
        <f t="shared" si="5"/>
        <v>31</v>
      </c>
      <c r="B70" s="98" t="s">
        <v>1123</v>
      </c>
      <c r="C70" s="99" t="s">
        <v>1559</v>
      </c>
      <c r="D70" s="100">
        <v>46175</v>
      </c>
      <c r="E70" s="114" t="e">
        <f>VLOOKUP($C70,xe!$A:$B,2,0)</f>
        <v>#N/A</v>
      </c>
      <c r="F70" s="101" t="str">
        <f>VLOOKUP($B70,ma!$A:$B,2,0)</f>
        <v>BHX XUYÊN Á</v>
      </c>
      <c r="G70" s="102" t="s">
        <v>1560</v>
      </c>
      <c r="H70" s="103" t="s">
        <v>1518</v>
      </c>
      <c r="I70" s="104"/>
      <c r="J70" s="99"/>
      <c r="K70" s="106">
        <v>2</v>
      </c>
      <c r="L70" s="107">
        <f t="shared" ref="L70:L71" si="8">K70*80000</f>
        <v>160000</v>
      </c>
      <c r="M70" s="104"/>
      <c r="N70" s="101"/>
      <c r="O70" s="101">
        <v>1</v>
      </c>
      <c r="P70" s="104">
        <f>VLOOKUP($B70,ma!$A:$C,3,0)</f>
        <v>900000</v>
      </c>
      <c r="Q70" s="108">
        <v>990000</v>
      </c>
      <c r="R70" s="109">
        <v>0.1</v>
      </c>
      <c r="S70" s="110"/>
      <c r="T70" s="110"/>
      <c r="U70" s="110"/>
      <c r="V70" s="110"/>
      <c r="W70" s="110"/>
      <c r="X70" s="110"/>
      <c r="Y70" s="110"/>
      <c r="Z70" s="110"/>
      <c r="AA70" s="110"/>
    </row>
    <row r="71" spans="1:27" ht="14">
      <c r="A71" s="97">
        <f t="shared" si="5"/>
        <v>32</v>
      </c>
      <c r="B71" s="98" t="s">
        <v>1123</v>
      </c>
      <c r="C71" s="99" t="s">
        <v>1561</v>
      </c>
      <c r="D71" s="100">
        <v>46175</v>
      </c>
      <c r="E71" s="99" t="e">
        <f>VLOOKUP($C71,xe!$A:$B,2,0)</f>
        <v>#N/A</v>
      </c>
      <c r="F71" s="101" t="str">
        <f>VLOOKUP($B71,ma!$A:$B,2,0)</f>
        <v>BHX XUYÊN Á</v>
      </c>
      <c r="G71" s="102" t="s">
        <v>1562</v>
      </c>
      <c r="H71" s="103" t="s">
        <v>1481</v>
      </c>
      <c r="I71" s="104"/>
      <c r="J71" s="99"/>
      <c r="K71" s="106">
        <v>1.8</v>
      </c>
      <c r="L71" s="107">
        <f t="shared" si="8"/>
        <v>144000</v>
      </c>
      <c r="M71" s="104"/>
      <c r="N71" s="101"/>
      <c r="O71" s="101">
        <v>1</v>
      </c>
      <c r="P71" s="104">
        <f>VLOOKUP($B71,ma!$A:$C,3,0)</f>
        <v>900000</v>
      </c>
      <c r="Q71" s="108">
        <v>990000</v>
      </c>
      <c r="R71" s="109">
        <v>0.1</v>
      </c>
      <c r="S71" s="110"/>
      <c r="T71" s="110"/>
      <c r="U71" s="110"/>
      <c r="V71" s="110"/>
      <c r="W71" s="110"/>
      <c r="X71" s="110"/>
      <c r="Y71" s="110"/>
      <c r="Z71" s="110"/>
      <c r="AA71" s="110"/>
    </row>
    <row r="72" spans="1:27" ht="14">
      <c r="A72" s="97">
        <f t="shared" si="5"/>
        <v>33</v>
      </c>
      <c r="B72" s="98" t="s">
        <v>1143</v>
      </c>
      <c r="C72" s="99" t="s">
        <v>1488</v>
      </c>
      <c r="D72" s="100">
        <v>46175</v>
      </c>
      <c r="E72" s="99" t="e">
        <f>VLOOKUP($C72,xe!$A:$B,2,0)</f>
        <v>#N/A</v>
      </c>
      <c r="F72" s="101" t="str">
        <f>VLOOKUP($B72,ma!$A:$B,2,0)</f>
        <v>AEON RDC Q12</v>
      </c>
      <c r="G72" s="102" t="s">
        <v>1563</v>
      </c>
      <c r="H72" s="103" t="s">
        <v>1473</v>
      </c>
      <c r="I72" s="104"/>
      <c r="J72" s="105" t="s">
        <v>1564</v>
      </c>
      <c r="K72" s="106">
        <v>2.4</v>
      </c>
      <c r="L72" s="107">
        <f t="shared" ref="L72:L74" si="9">K72*50000</f>
        <v>120000</v>
      </c>
      <c r="M72" s="104"/>
      <c r="N72" s="101"/>
      <c r="O72" s="101">
        <v>1</v>
      </c>
      <c r="P72" s="104">
        <f>VLOOKUP($B72,ma!$A:$C,3,0)</f>
        <v>800000</v>
      </c>
      <c r="Q72" s="108">
        <v>1210000</v>
      </c>
      <c r="R72" s="109">
        <v>0.1</v>
      </c>
      <c r="S72" s="110"/>
      <c r="T72" s="110"/>
      <c r="U72" s="110"/>
      <c r="V72" s="110"/>
      <c r="W72" s="110"/>
      <c r="X72" s="110"/>
      <c r="Y72" s="110"/>
      <c r="Z72" s="110"/>
      <c r="AA72" s="110"/>
    </row>
    <row r="73" spans="1:27" ht="14">
      <c r="A73" s="97">
        <f t="shared" si="5"/>
        <v>34</v>
      </c>
      <c r="B73" s="98" t="s">
        <v>1143</v>
      </c>
      <c r="C73" s="99" t="s">
        <v>1565</v>
      </c>
      <c r="D73" s="100">
        <v>46175</v>
      </c>
      <c r="E73" s="99" t="str">
        <f>VLOOKUP($C73,xe!$A:$B,2,0)</f>
        <v>50H-55116</v>
      </c>
      <c r="F73" s="101" t="str">
        <f>VLOOKUP($B73,ma!$A:$B,2,0)</f>
        <v>AEON RDC Q12</v>
      </c>
      <c r="G73" s="102" t="s">
        <v>1566</v>
      </c>
      <c r="H73" s="103" t="s">
        <v>1473</v>
      </c>
      <c r="I73" s="104"/>
      <c r="J73" s="105" t="s">
        <v>1567</v>
      </c>
      <c r="K73" s="112">
        <v>1</v>
      </c>
      <c r="L73" s="113">
        <f t="shared" si="9"/>
        <v>50000</v>
      </c>
      <c r="M73" s="104"/>
      <c r="N73" s="101"/>
      <c r="O73" s="101">
        <v>1</v>
      </c>
      <c r="P73" s="104">
        <f>VLOOKUP($B73,ma!$A:$C,3,0)</f>
        <v>800000</v>
      </c>
      <c r="Q73" s="108">
        <v>550000</v>
      </c>
      <c r="R73" s="109">
        <v>0.1</v>
      </c>
      <c r="S73" s="110"/>
      <c r="T73" s="110"/>
      <c r="U73" s="110"/>
      <c r="V73" s="110"/>
      <c r="W73" s="110"/>
      <c r="X73" s="110"/>
      <c r="Y73" s="110"/>
      <c r="Z73" s="110"/>
      <c r="AA73" s="110"/>
    </row>
    <row r="74" spans="1:27" ht="14">
      <c r="A74" s="97">
        <f t="shared" si="5"/>
        <v>35</v>
      </c>
      <c r="B74" s="98" t="s">
        <v>1115</v>
      </c>
      <c r="C74" s="99" t="s">
        <v>1505</v>
      </c>
      <c r="D74" s="100">
        <v>46175</v>
      </c>
      <c r="E74" s="99" t="str">
        <f>VLOOKUP($C74,xe!$A:$B,2,0)</f>
        <v>50H 87442</v>
      </c>
      <c r="F74" s="101" t="str">
        <f>VLOOKUP($B74,ma!$A:$B,2,0)</f>
        <v>BHX ( TĐN)</v>
      </c>
      <c r="G74" s="102" t="s">
        <v>1568</v>
      </c>
      <c r="H74" s="103" t="s">
        <v>1473</v>
      </c>
      <c r="I74" s="104"/>
      <c r="J74" s="105" t="s">
        <v>1569</v>
      </c>
      <c r="K74" s="112">
        <v>1</v>
      </c>
      <c r="L74" s="113">
        <f t="shared" si="9"/>
        <v>50000</v>
      </c>
      <c r="M74" s="104"/>
      <c r="N74" s="101"/>
      <c r="O74" s="101">
        <v>1</v>
      </c>
      <c r="P74" s="104">
        <f>VLOOKUP($B74,ma!$A:$C,3,0)</f>
        <v>800000</v>
      </c>
      <c r="Q74" s="108">
        <v>300000</v>
      </c>
      <c r="R74" s="109">
        <v>0.1</v>
      </c>
      <c r="S74" s="110"/>
      <c r="T74" s="110"/>
      <c r="U74" s="110"/>
      <c r="V74" s="110"/>
      <c r="W74" s="110"/>
      <c r="X74" s="110"/>
      <c r="Y74" s="110"/>
      <c r="Z74" s="110"/>
      <c r="AA74" s="110"/>
    </row>
    <row r="75" spans="1:27" ht="14">
      <c r="A75" s="97">
        <f t="shared" si="5"/>
        <v>36</v>
      </c>
      <c r="B75" s="98" t="s">
        <v>1115</v>
      </c>
      <c r="C75" s="99" t="s">
        <v>1570</v>
      </c>
      <c r="D75" s="100">
        <v>46175</v>
      </c>
      <c r="E75" s="99" t="str">
        <f>VLOOKUP($C75,xe!$A:$B,2,0)</f>
        <v>50H-66445</v>
      </c>
      <c r="F75" s="101" t="str">
        <f>VLOOKUP($B75,ma!$A:$B,2,0)</f>
        <v>BHX ( TĐN)</v>
      </c>
      <c r="G75" s="102" t="s">
        <v>1571</v>
      </c>
      <c r="H75" s="103" t="s">
        <v>1473</v>
      </c>
      <c r="I75" s="104"/>
      <c r="J75" s="105" t="s">
        <v>465</v>
      </c>
      <c r="K75" s="106">
        <v>1.6</v>
      </c>
      <c r="L75" s="113">
        <v>160000</v>
      </c>
      <c r="M75" s="104"/>
      <c r="N75" s="101"/>
      <c r="O75" s="101">
        <v>1</v>
      </c>
      <c r="P75" s="104">
        <f>VLOOKUP($B75,ma!$A:$C,3,0)</f>
        <v>800000</v>
      </c>
      <c r="Q75" s="108">
        <v>880000</v>
      </c>
      <c r="R75" s="109">
        <v>0.1</v>
      </c>
      <c r="S75" s="111"/>
      <c r="T75" s="111"/>
      <c r="U75" s="111"/>
      <c r="V75" s="111"/>
      <c r="W75" s="111"/>
      <c r="X75" s="111"/>
      <c r="Y75" s="111"/>
      <c r="Z75" s="111"/>
      <c r="AA75" s="111"/>
    </row>
    <row r="76" spans="1:27" ht="14">
      <c r="A76" s="97">
        <f t="shared" si="5"/>
        <v>37</v>
      </c>
      <c r="B76" s="98" t="s">
        <v>1117</v>
      </c>
      <c r="C76" s="99" t="s">
        <v>1572</v>
      </c>
      <c r="D76" s="100">
        <v>46175</v>
      </c>
      <c r="E76" s="99" t="str">
        <f>VLOOKUP($C76,xe!$A:$B,2,0)</f>
        <v>50H-69501</v>
      </c>
      <c r="F76" s="101" t="str">
        <f>VLOOKUP($B76,ma!$A:$B,2,0)</f>
        <v>BHX CẦN ĐƯỚC</v>
      </c>
      <c r="G76" s="102" t="s">
        <v>1573</v>
      </c>
      <c r="H76" s="103" t="s">
        <v>1473</v>
      </c>
      <c r="I76" s="104"/>
      <c r="J76" s="105" t="s">
        <v>465</v>
      </c>
      <c r="K76" s="106">
        <v>1.6</v>
      </c>
      <c r="L76" s="113">
        <v>210000</v>
      </c>
      <c r="M76" s="104"/>
      <c r="N76" s="101"/>
      <c r="O76" s="101">
        <v>1</v>
      </c>
      <c r="P76" s="104">
        <f>VLOOKUP($B76,ma!$A:$C,3,0)</f>
        <v>900000</v>
      </c>
      <c r="Q76" s="108">
        <v>990000</v>
      </c>
      <c r="R76" s="109">
        <v>0.1</v>
      </c>
      <c r="S76" s="110"/>
      <c r="T76" s="110"/>
      <c r="U76" s="110"/>
      <c r="V76" s="110"/>
      <c r="W76" s="110"/>
      <c r="X76" s="110"/>
      <c r="Y76" s="110"/>
      <c r="Z76" s="110"/>
      <c r="AA76" s="110"/>
    </row>
    <row r="77" spans="1:27" ht="14">
      <c r="A77" s="97">
        <f t="shared" si="5"/>
        <v>38</v>
      </c>
      <c r="B77" s="98" t="s">
        <v>1117</v>
      </c>
      <c r="C77" s="99" t="s">
        <v>1509</v>
      </c>
      <c r="D77" s="100">
        <v>46175</v>
      </c>
      <c r="E77" s="99" t="str">
        <f>VLOOKUP($C77,xe!$A:$B,2,0)</f>
        <v>50H-70216</v>
      </c>
      <c r="F77" s="101" t="str">
        <f>VLOOKUP($B77,ma!$A:$B,2,0)</f>
        <v>BHX CẦN ĐƯỚC</v>
      </c>
      <c r="G77" s="102" t="s">
        <v>1574</v>
      </c>
      <c r="H77" s="103" t="s">
        <v>1473</v>
      </c>
      <c r="I77" s="104"/>
      <c r="J77" s="105" t="s">
        <v>1575</v>
      </c>
      <c r="K77" s="112">
        <v>2.4</v>
      </c>
      <c r="L77" s="113">
        <v>290000</v>
      </c>
      <c r="M77" s="104"/>
      <c r="N77" s="101"/>
      <c r="O77" s="101">
        <v>1</v>
      </c>
      <c r="P77" s="104">
        <f>VLOOKUP($B77,ma!$A:$C,3,0)</f>
        <v>900000</v>
      </c>
      <c r="Q77" s="108">
        <v>1460000</v>
      </c>
      <c r="R77" s="109">
        <v>0.1</v>
      </c>
      <c r="S77" s="110"/>
      <c r="T77" s="110"/>
      <c r="U77" s="110"/>
      <c r="V77" s="110"/>
      <c r="W77" s="110"/>
      <c r="X77" s="110"/>
      <c r="Y77" s="110"/>
      <c r="Z77" s="110"/>
      <c r="AA77" s="110"/>
    </row>
    <row r="78" spans="1:27" ht="14">
      <c r="A78" s="97">
        <f t="shared" si="5"/>
        <v>39</v>
      </c>
      <c r="B78" s="98" t="s">
        <v>1546</v>
      </c>
      <c r="C78" s="99" t="s">
        <v>1576</v>
      </c>
      <c r="D78" s="100">
        <v>46175</v>
      </c>
      <c r="E78" s="99" t="str">
        <f>VLOOKUP($C78,xe!$A:$B,2,0)</f>
        <v>50H-74619</v>
      </c>
      <c r="F78" s="101" t="str">
        <f>VLOOKUP($B78,ma!$A:$B,2,0)</f>
        <v>BHX NHÀ BÈ</v>
      </c>
      <c r="G78" s="102" t="s">
        <v>1577</v>
      </c>
      <c r="H78" s="103" t="s">
        <v>1481</v>
      </c>
      <c r="I78" s="104"/>
      <c r="J78" s="105" t="s">
        <v>97</v>
      </c>
      <c r="K78" s="106">
        <v>1.2</v>
      </c>
      <c r="L78" s="113">
        <v>140000</v>
      </c>
      <c r="M78" s="104"/>
      <c r="N78" s="101"/>
      <c r="O78" s="101">
        <v>1</v>
      </c>
      <c r="P78" s="104">
        <f>VLOOKUP($B78,ma!$A:$C,3,0)</f>
        <v>400000</v>
      </c>
      <c r="Q78" s="108">
        <v>440000</v>
      </c>
      <c r="R78" s="109">
        <v>0.1</v>
      </c>
      <c r="S78" s="110"/>
      <c r="T78" s="110"/>
      <c r="U78" s="110"/>
      <c r="V78" s="110"/>
      <c r="W78" s="110"/>
      <c r="X78" s="110"/>
      <c r="Y78" s="110"/>
      <c r="Z78" s="110"/>
      <c r="AA78" s="110"/>
    </row>
    <row r="79" spans="1:27" ht="14">
      <c r="A79" s="97">
        <f t="shared" si="5"/>
        <v>40</v>
      </c>
      <c r="B79" s="98" t="s">
        <v>1578</v>
      </c>
      <c r="C79" s="99" t="s">
        <v>1488</v>
      </c>
      <c r="D79" s="100">
        <v>46175</v>
      </c>
      <c r="E79" s="99" t="e">
        <f>VLOOKUP($C79,xe!$A:$B,2,0)</f>
        <v>#N/A</v>
      </c>
      <c r="F79" s="101" t="str">
        <f>VLOOKUP($B79,ma!$A:$B,2,0)</f>
        <v>CALOFIC - UNI ( xe nhỏ )</v>
      </c>
      <c r="G79" s="102" t="s">
        <v>1579</v>
      </c>
      <c r="H79" s="103" t="s">
        <v>1473</v>
      </c>
      <c r="I79" s="104"/>
      <c r="J79" s="99"/>
      <c r="K79" s="106">
        <v>1</v>
      </c>
      <c r="L79" s="107">
        <f t="shared" ref="L79:L84" si="10">K79*50000</f>
        <v>50000</v>
      </c>
      <c r="M79" s="104"/>
      <c r="N79" s="101"/>
      <c r="O79" s="101">
        <v>1</v>
      </c>
      <c r="P79" s="104">
        <f>VLOOKUP($B79,ma!$A:$C,3,0)</f>
        <v>300000</v>
      </c>
      <c r="Q79" s="108">
        <v>330000</v>
      </c>
      <c r="R79" s="109">
        <v>0.1</v>
      </c>
      <c r="S79" s="110"/>
      <c r="T79" s="110"/>
      <c r="U79" s="110"/>
      <c r="V79" s="110"/>
      <c r="W79" s="110"/>
      <c r="X79" s="110"/>
      <c r="Y79" s="110"/>
      <c r="Z79" s="110"/>
      <c r="AA79" s="110"/>
    </row>
    <row r="80" spans="1:27" ht="14">
      <c r="A80" s="116">
        <v>1</v>
      </c>
      <c r="B80" s="117" t="s">
        <v>1153</v>
      </c>
      <c r="C80" s="118" t="s">
        <v>55</v>
      </c>
      <c r="D80" s="119">
        <v>46176</v>
      </c>
      <c r="E80" s="118" t="e">
        <f>VLOOKUP($C80,xe!$A:$B,2,0)</f>
        <v>#N/A</v>
      </c>
      <c r="F80" s="120" t="str">
        <f>VLOOKUP($B80,ma!$A:$B,2,0)</f>
        <v>E MART P.V.TRỊ</v>
      </c>
      <c r="G80" s="121" t="s">
        <v>1580</v>
      </c>
      <c r="H80" s="122" t="s">
        <v>1518</v>
      </c>
      <c r="I80" s="123"/>
      <c r="J80" s="105" t="s">
        <v>119</v>
      </c>
      <c r="K80" s="124">
        <v>2</v>
      </c>
      <c r="L80" s="125">
        <f t="shared" si="10"/>
        <v>100000</v>
      </c>
      <c r="M80" s="123"/>
      <c r="N80" s="120"/>
      <c r="O80" s="120">
        <v>1</v>
      </c>
      <c r="P80" s="123">
        <f>VLOOKUP($B80,ma!$A:$C,3,0)</f>
        <v>800000</v>
      </c>
      <c r="Q80" s="108">
        <v>880000</v>
      </c>
      <c r="R80" s="109">
        <v>0.1</v>
      </c>
      <c r="S80" s="111"/>
      <c r="T80" s="111"/>
      <c r="U80" s="111"/>
      <c r="V80" s="111"/>
      <c r="W80" s="111"/>
      <c r="X80" s="111"/>
      <c r="Y80" s="111"/>
      <c r="Z80" s="111"/>
      <c r="AA80" s="111"/>
    </row>
    <row r="81" spans="1:27" ht="14">
      <c r="A81" s="97">
        <f t="shared" ref="A81:A105" si="11">A80+1</f>
        <v>2</v>
      </c>
      <c r="B81" s="98" t="s">
        <v>1155</v>
      </c>
      <c r="C81" s="99" t="s">
        <v>56</v>
      </c>
      <c r="D81" s="100">
        <v>46176</v>
      </c>
      <c r="E81" s="99" t="e">
        <f>VLOOKUP($C81,xe!$A:$B,2,0)</f>
        <v>#N/A</v>
      </c>
      <c r="F81" s="101" t="str">
        <f>VLOOKUP($B81,ma!$A:$B,2,0)</f>
        <v>E MART SALA</v>
      </c>
      <c r="G81" s="102" t="s">
        <v>1581</v>
      </c>
      <c r="H81" s="103" t="s">
        <v>1518</v>
      </c>
      <c r="I81" s="104"/>
      <c r="J81" s="105" t="s">
        <v>119</v>
      </c>
      <c r="K81" s="106">
        <v>1.2</v>
      </c>
      <c r="L81" s="107">
        <f t="shared" si="10"/>
        <v>60000</v>
      </c>
      <c r="M81" s="104"/>
      <c r="N81" s="101"/>
      <c r="O81" s="101">
        <v>1</v>
      </c>
      <c r="P81" s="104">
        <f>VLOOKUP($B81,ma!$A:$C,3,0)</f>
        <v>800000</v>
      </c>
      <c r="Q81" s="108">
        <v>880000</v>
      </c>
      <c r="R81" s="109">
        <v>0.1</v>
      </c>
      <c r="S81" s="110"/>
      <c r="T81" s="110"/>
      <c r="U81" s="110"/>
      <c r="V81" s="110"/>
      <c r="W81" s="110"/>
      <c r="X81" s="110"/>
      <c r="Y81" s="110"/>
      <c r="Z81" s="110"/>
      <c r="AA81" s="110"/>
    </row>
    <row r="82" spans="1:27" ht="14">
      <c r="A82" s="97">
        <f t="shared" si="11"/>
        <v>3</v>
      </c>
      <c r="B82" s="98" t="s">
        <v>1155</v>
      </c>
      <c r="C82" s="99" t="s">
        <v>1582</v>
      </c>
      <c r="D82" s="100">
        <v>46176</v>
      </c>
      <c r="E82" s="99" t="e">
        <f>VLOOKUP($C82,xe!$A:$B,2,0)</f>
        <v>#N/A</v>
      </c>
      <c r="F82" s="101" t="str">
        <f>VLOOKUP($B82,ma!$A:$B,2,0)</f>
        <v>E MART SALA</v>
      </c>
      <c r="G82" s="102" t="s">
        <v>1583</v>
      </c>
      <c r="H82" s="103" t="s">
        <v>1518</v>
      </c>
      <c r="I82" s="104"/>
      <c r="J82" s="105" t="s">
        <v>119</v>
      </c>
      <c r="K82" s="106">
        <v>1.2</v>
      </c>
      <c r="L82" s="107">
        <f t="shared" si="10"/>
        <v>60000</v>
      </c>
      <c r="M82" s="104"/>
      <c r="N82" s="101"/>
      <c r="O82" s="101">
        <v>1</v>
      </c>
      <c r="P82" s="104">
        <f>VLOOKUP($B82,ma!$A:$C,3,0)</f>
        <v>800000</v>
      </c>
      <c r="Q82" s="108">
        <v>880000</v>
      </c>
      <c r="R82" s="109">
        <v>0.1</v>
      </c>
      <c r="S82" s="110"/>
      <c r="T82" s="110"/>
      <c r="U82" s="110"/>
      <c r="V82" s="110"/>
      <c r="W82" s="110"/>
      <c r="X82" s="110"/>
      <c r="Y82" s="110"/>
      <c r="Z82" s="110"/>
      <c r="AA82" s="110"/>
    </row>
    <row r="83" spans="1:27" ht="14">
      <c r="A83" s="97">
        <f t="shared" si="11"/>
        <v>4</v>
      </c>
      <c r="B83" s="98" t="s">
        <v>1157</v>
      </c>
      <c r="C83" s="99" t="s">
        <v>1584</v>
      </c>
      <c r="D83" s="100">
        <v>46176</v>
      </c>
      <c r="E83" s="99" t="e">
        <f>VLOOKUP($C83,xe!$A:$B,2,0)</f>
        <v>#N/A</v>
      </c>
      <c r="F83" s="101" t="str">
        <f>VLOOKUP($B83,ma!$A:$B,2,0)</f>
        <v>EMART P.H.ÍCH</v>
      </c>
      <c r="G83" s="102" t="s">
        <v>1585</v>
      </c>
      <c r="H83" s="103" t="s">
        <v>1518</v>
      </c>
      <c r="I83" s="104"/>
      <c r="J83" s="105" t="s">
        <v>119</v>
      </c>
      <c r="K83" s="106">
        <v>1.6</v>
      </c>
      <c r="L83" s="107">
        <f t="shared" si="10"/>
        <v>80000</v>
      </c>
      <c r="M83" s="104"/>
      <c r="N83" s="101"/>
      <c r="O83" s="101">
        <v>1</v>
      </c>
      <c r="P83" s="104">
        <f>VLOOKUP($B83,ma!$A:$C,3,0)</f>
        <v>800000</v>
      </c>
      <c r="Q83" s="108">
        <v>880000</v>
      </c>
      <c r="R83" s="109">
        <v>0.1</v>
      </c>
      <c r="S83" s="110"/>
      <c r="T83" s="110"/>
      <c r="U83" s="110"/>
      <c r="V83" s="110"/>
      <c r="W83" s="110"/>
      <c r="X83" s="110"/>
      <c r="Y83" s="110"/>
      <c r="Z83" s="110"/>
      <c r="AA83" s="110"/>
    </row>
    <row r="84" spans="1:27" ht="14">
      <c r="A84" s="97">
        <f t="shared" si="11"/>
        <v>5</v>
      </c>
      <c r="B84" s="98" t="s">
        <v>1157</v>
      </c>
      <c r="C84" s="99" t="s">
        <v>58</v>
      </c>
      <c r="D84" s="100">
        <v>46176</v>
      </c>
      <c r="E84" s="99" t="e">
        <f>VLOOKUP($C84,xe!$A:$B,2,0)</f>
        <v>#N/A</v>
      </c>
      <c r="F84" s="101" t="str">
        <f>VLOOKUP($B84,ma!$A:$B,2,0)</f>
        <v>EMART P.H.ÍCH</v>
      </c>
      <c r="G84" s="102" t="s">
        <v>1586</v>
      </c>
      <c r="H84" s="103" t="s">
        <v>1518</v>
      </c>
      <c r="I84" s="104"/>
      <c r="J84" s="105" t="s">
        <v>119</v>
      </c>
      <c r="K84" s="106">
        <v>1.6</v>
      </c>
      <c r="L84" s="107">
        <f t="shared" si="10"/>
        <v>80000</v>
      </c>
      <c r="M84" s="104"/>
      <c r="N84" s="101"/>
      <c r="O84" s="101">
        <v>1</v>
      </c>
      <c r="P84" s="104">
        <f>VLOOKUP($B84,ma!$A:$C,3,0)</f>
        <v>800000</v>
      </c>
      <c r="Q84" s="108">
        <v>880000</v>
      </c>
      <c r="R84" s="109">
        <v>0.1</v>
      </c>
      <c r="S84" s="110"/>
      <c r="T84" s="110"/>
      <c r="U84" s="110"/>
      <c r="V84" s="110"/>
      <c r="W84" s="110"/>
      <c r="X84" s="110"/>
      <c r="Y84" s="110"/>
      <c r="Z84" s="110"/>
      <c r="AA84" s="110"/>
    </row>
    <row r="85" spans="1:27" ht="14">
      <c r="A85" s="97">
        <f t="shared" si="11"/>
        <v>6</v>
      </c>
      <c r="B85" s="98" t="s">
        <v>287</v>
      </c>
      <c r="C85" s="99" t="s">
        <v>54</v>
      </c>
      <c r="D85" s="100">
        <v>46176</v>
      </c>
      <c r="E85" s="99" t="e">
        <f>VLOOKUP($C85,xe!$A:$B,2,0)</f>
        <v>#N/A</v>
      </c>
      <c r="F85" s="101" t="str">
        <f>VLOOKUP($B85,ma!$A:$B,2,0)</f>
        <v>ANFOOD Q12 ( K BX )</v>
      </c>
      <c r="G85" s="102" t="s">
        <v>1587</v>
      </c>
      <c r="H85" s="103" t="s">
        <v>1481</v>
      </c>
      <c r="I85" s="104"/>
      <c r="J85" s="99"/>
      <c r="K85" s="106">
        <v>1.8</v>
      </c>
      <c r="L85" s="107"/>
      <c r="M85" s="104"/>
      <c r="N85" s="101"/>
      <c r="O85" s="101">
        <v>1</v>
      </c>
      <c r="P85" s="104">
        <f>VLOOKUP($B85,ma!$A:$C,3,0)</f>
        <v>800000</v>
      </c>
      <c r="Q85" s="108">
        <v>880000</v>
      </c>
      <c r="R85" s="109">
        <v>0.1</v>
      </c>
      <c r="S85" s="110"/>
      <c r="T85" s="110"/>
      <c r="U85" s="110"/>
      <c r="V85" s="110"/>
      <c r="W85" s="110"/>
      <c r="X85" s="110"/>
      <c r="Y85" s="110"/>
      <c r="Z85" s="110"/>
      <c r="AA85" s="110"/>
    </row>
    <row r="86" spans="1:27" ht="14">
      <c r="A86" s="97">
        <f t="shared" si="11"/>
        <v>7</v>
      </c>
      <c r="B86" s="98" t="s">
        <v>781</v>
      </c>
      <c r="C86" s="99" t="s">
        <v>14</v>
      </c>
      <c r="D86" s="100">
        <v>46176</v>
      </c>
      <c r="E86" s="99" t="str">
        <f>VLOOKUP($C86,xe!$A:$B,2,0)</f>
        <v>51H -88294</v>
      </c>
      <c r="F86" s="101" t="str">
        <f>VLOOKUP($B86,ma!$A:$B,2,0)</f>
        <v>SONG HỒNG TÂN ( KBX )</v>
      </c>
      <c r="G86" s="102" t="s">
        <v>1588</v>
      </c>
      <c r="H86" s="103" t="s">
        <v>1473</v>
      </c>
      <c r="I86" s="104"/>
      <c r="J86" s="99"/>
      <c r="K86" s="106">
        <v>2</v>
      </c>
      <c r="L86" s="107">
        <v>50000</v>
      </c>
      <c r="M86" s="104"/>
      <c r="N86" s="101"/>
      <c r="O86" s="101">
        <v>1</v>
      </c>
      <c r="P86" s="104">
        <f>VLOOKUP($B86,ma!$A:$C,3,0)</f>
        <v>900000</v>
      </c>
      <c r="Q86" s="108">
        <v>990000</v>
      </c>
      <c r="R86" s="109">
        <v>0.1</v>
      </c>
      <c r="S86" s="110"/>
      <c r="T86" s="110"/>
      <c r="U86" s="110"/>
      <c r="V86" s="110"/>
      <c r="W86" s="110"/>
      <c r="X86" s="110"/>
      <c r="Y86" s="110"/>
      <c r="Z86" s="110"/>
      <c r="AA86" s="110"/>
    </row>
    <row r="87" spans="1:27" ht="14">
      <c r="A87" s="97">
        <f t="shared" si="11"/>
        <v>8</v>
      </c>
      <c r="B87" s="98" t="s">
        <v>781</v>
      </c>
      <c r="C87" s="99" t="s">
        <v>8</v>
      </c>
      <c r="D87" s="100">
        <v>46176</v>
      </c>
      <c r="E87" s="99" t="str">
        <f>VLOOKUP($C87,xe!$A:$B,2,0)</f>
        <v>50H-64316</v>
      </c>
      <c r="F87" s="101" t="str">
        <f>VLOOKUP($B87,ma!$A:$B,2,0)</f>
        <v>SONG HỒNG TÂN ( KBX )</v>
      </c>
      <c r="G87" s="102" t="s">
        <v>1589</v>
      </c>
      <c r="H87" s="103" t="s">
        <v>1473</v>
      </c>
      <c r="I87" s="104"/>
      <c r="J87" s="99"/>
      <c r="K87" s="106">
        <v>1.8</v>
      </c>
      <c r="L87" s="107">
        <v>50000</v>
      </c>
      <c r="M87" s="104"/>
      <c r="N87" s="101"/>
      <c r="O87" s="101">
        <v>1</v>
      </c>
      <c r="P87" s="104">
        <f>VLOOKUP($B87,ma!$A:$C,3,0)</f>
        <v>900000</v>
      </c>
      <c r="Q87" s="108">
        <v>990000</v>
      </c>
      <c r="R87" s="109">
        <v>0.1</v>
      </c>
      <c r="S87" s="110"/>
      <c r="T87" s="110"/>
      <c r="U87" s="110"/>
      <c r="V87" s="110"/>
      <c r="W87" s="110"/>
      <c r="X87" s="110"/>
      <c r="Y87" s="110"/>
      <c r="Z87" s="110"/>
      <c r="AA87" s="110"/>
    </row>
    <row r="88" spans="1:27" ht="14">
      <c r="A88" s="97">
        <f t="shared" si="11"/>
        <v>9</v>
      </c>
      <c r="B88" s="98" t="s">
        <v>781</v>
      </c>
      <c r="C88" s="99" t="s">
        <v>1511</v>
      </c>
      <c r="D88" s="100">
        <v>46176</v>
      </c>
      <c r="E88" s="99" t="str">
        <f>VLOOKUP($C88,xe!$A:$B,2,0)</f>
        <v>50H-54580</v>
      </c>
      <c r="F88" s="101" t="str">
        <f>VLOOKUP($B88,ma!$A:$B,2,0)</f>
        <v>SONG HỒNG TÂN ( KBX )</v>
      </c>
      <c r="G88" s="102" t="s">
        <v>1590</v>
      </c>
      <c r="H88" s="103" t="s">
        <v>1473</v>
      </c>
      <c r="I88" s="104"/>
      <c r="J88" s="99"/>
      <c r="K88" s="106">
        <v>2</v>
      </c>
      <c r="L88" s="107">
        <v>50000</v>
      </c>
      <c r="M88" s="104"/>
      <c r="N88" s="101"/>
      <c r="O88" s="101">
        <v>1</v>
      </c>
      <c r="P88" s="104">
        <f>VLOOKUP($B88,ma!$A:$C,3,0)</f>
        <v>900000</v>
      </c>
      <c r="Q88" s="108">
        <v>990000</v>
      </c>
      <c r="R88" s="109">
        <v>0.1</v>
      </c>
      <c r="S88" s="110"/>
      <c r="T88" s="110"/>
      <c r="U88" s="110"/>
      <c r="V88" s="110"/>
      <c r="W88" s="110"/>
      <c r="X88" s="110"/>
      <c r="Y88" s="110"/>
      <c r="Z88" s="110"/>
      <c r="AA88" s="110"/>
    </row>
    <row r="89" spans="1:27" ht="14">
      <c r="A89" s="97">
        <f t="shared" si="11"/>
        <v>10</v>
      </c>
      <c r="B89" s="98" t="s">
        <v>452</v>
      </c>
      <c r="C89" s="99" t="s">
        <v>1565</v>
      </c>
      <c r="D89" s="100">
        <v>46176</v>
      </c>
      <c r="E89" s="99" t="str">
        <f>VLOOKUP($C89,xe!$A:$B,2,0)</f>
        <v>50H-55116</v>
      </c>
      <c r="F89" s="101" t="str">
        <f>VLOOKUP($B89,ma!$A:$B,2,0)</f>
        <v>NGUYỄN TRƯƠNG</v>
      </c>
      <c r="G89" s="102" t="s">
        <v>1591</v>
      </c>
      <c r="H89" s="103" t="s">
        <v>1473</v>
      </c>
      <c r="I89" s="104"/>
      <c r="J89" s="99"/>
      <c r="K89" s="106">
        <v>1.4</v>
      </c>
      <c r="L89" s="107">
        <f>K89*50000</f>
        <v>70000</v>
      </c>
      <c r="M89" s="104"/>
      <c r="N89" s="101"/>
      <c r="O89" s="101">
        <v>1</v>
      </c>
      <c r="P89" s="104">
        <f>VLOOKUP($B89,ma!$A:$C,3,0)</f>
        <v>800000</v>
      </c>
      <c r="Q89" s="108">
        <v>880000</v>
      </c>
      <c r="R89" s="109">
        <v>0.1</v>
      </c>
      <c r="S89" s="110"/>
      <c r="T89" s="110"/>
      <c r="U89" s="110"/>
      <c r="V89" s="110"/>
      <c r="W89" s="110"/>
      <c r="X89" s="110"/>
      <c r="Y89" s="110"/>
      <c r="Z89" s="110"/>
      <c r="AA89" s="110"/>
    </row>
    <row r="90" spans="1:27" ht="14">
      <c r="A90" s="97">
        <f t="shared" si="11"/>
        <v>11</v>
      </c>
      <c r="B90" s="98" t="s">
        <v>913</v>
      </c>
      <c r="C90" s="99" t="s">
        <v>1505</v>
      </c>
      <c r="D90" s="100">
        <v>46176</v>
      </c>
      <c r="E90" s="99" t="str">
        <f>VLOOKUP($C90,xe!$A:$B,2,0)</f>
        <v>50H 87442</v>
      </c>
      <c r="F90" s="101" t="str">
        <f>VLOOKUP($B90,ma!$A:$B,2,0)</f>
        <v>XUÂN VÂN ( K BX )</v>
      </c>
      <c r="G90" s="102" t="s">
        <v>1592</v>
      </c>
      <c r="H90" s="103" t="s">
        <v>1473</v>
      </c>
      <c r="I90" s="104"/>
      <c r="J90" s="99"/>
      <c r="K90" s="106">
        <v>2</v>
      </c>
      <c r="L90" s="107">
        <v>50000</v>
      </c>
      <c r="M90" s="104"/>
      <c r="N90" s="101"/>
      <c r="O90" s="101">
        <v>1</v>
      </c>
      <c r="P90" s="104">
        <f>VLOOKUP($B90,ma!$A:$C,3,0)</f>
        <v>800000</v>
      </c>
      <c r="Q90" s="108">
        <v>880000</v>
      </c>
      <c r="R90" s="109">
        <v>0.1</v>
      </c>
      <c r="S90" s="110"/>
      <c r="T90" s="110"/>
      <c r="U90" s="110"/>
      <c r="V90" s="110"/>
      <c r="W90" s="110"/>
      <c r="X90" s="110"/>
      <c r="Y90" s="110"/>
      <c r="Z90" s="110"/>
      <c r="AA90" s="110"/>
    </row>
    <row r="91" spans="1:27" ht="14">
      <c r="A91" s="97">
        <f t="shared" si="11"/>
        <v>12</v>
      </c>
      <c r="B91" s="98" t="s">
        <v>1593</v>
      </c>
      <c r="C91" s="99" t="s">
        <v>1549</v>
      </c>
      <c r="D91" s="100">
        <v>46176</v>
      </c>
      <c r="E91" s="99" t="str">
        <f>VLOOKUP($C91,xe!$A:$B,2,0)</f>
        <v>50H-55443</v>
      </c>
      <c r="F91" s="101" t="str">
        <f>VLOOKUP($B91,ma!$A:$B,2,0)</f>
        <v>Paparotti Tân Phú</v>
      </c>
      <c r="G91" s="102" t="s">
        <v>1594</v>
      </c>
      <c r="H91" s="103" t="s">
        <v>1473</v>
      </c>
      <c r="I91" s="104"/>
      <c r="J91" s="99"/>
      <c r="K91" s="106">
        <v>1.4</v>
      </c>
      <c r="L91" s="107">
        <f t="shared" ref="L91:L92" si="12">K91*50000</f>
        <v>70000</v>
      </c>
      <c r="M91" s="104"/>
      <c r="N91" s="101"/>
      <c r="O91" s="101">
        <v>1</v>
      </c>
      <c r="P91" s="104">
        <f>VLOOKUP($B91,ma!$A:$C,3,0)</f>
        <v>800000</v>
      </c>
      <c r="Q91" s="108">
        <v>880000</v>
      </c>
      <c r="R91" s="109">
        <v>0.1</v>
      </c>
      <c r="S91" s="110"/>
      <c r="T91" s="110"/>
      <c r="U91" s="110"/>
      <c r="V91" s="110"/>
      <c r="W91" s="110"/>
      <c r="X91" s="110"/>
      <c r="Y91" s="110"/>
      <c r="Z91" s="110"/>
      <c r="AA91" s="110"/>
    </row>
    <row r="92" spans="1:27" ht="14">
      <c r="A92" s="97">
        <f t="shared" si="11"/>
        <v>13</v>
      </c>
      <c r="B92" s="98" t="s">
        <v>1595</v>
      </c>
      <c r="C92" s="99" t="s">
        <v>10</v>
      </c>
      <c r="D92" s="100">
        <v>46176</v>
      </c>
      <c r="E92" s="99" t="str">
        <f>VLOOKUP($C92,xe!$A:$B,2,0)</f>
        <v>50H-50999</v>
      </c>
      <c r="F92" s="101" t="str">
        <f>VLOOKUP($B92,ma!$A:$B,2,0)</f>
        <v>Như Thùy</v>
      </c>
      <c r="G92" s="102" t="s">
        <v>1596</v>
      </c>
      <c r="H92" s="103" t="s">
        <v>1473</v>
      </c>
      <c r="I92" s="104"/>
      <c r="J92" s="99"/>
      <c r="K92" s="106">
        <v>1.8</v>
      </c>
      <c r="L92" s="107">
        <f t="shared" si="12"/>
        <v>90000</v>
      </c>
      <c r="M92" s="104"/>
      <c r="N92" s="101"/>
      <c r="O92" s="101">
        <v>1</v>
      </c>
      <c r="P92" s="104">
        <f>VLOOKUP($B92,ma!$A:$C,3,0)</f>
        <v>800000</v>
      </c>
      <c r="Q92" s="108">
        <v>880000</v>
      </c>
      <c r="R92" s="109">
        <v>0.1</v>
      </c>
      <c r="S92" s="110"/>
      <c r="T92" s="110"/>
      <c r="U92" s="110"/>
      <c r="V92" s="110"/>
      <c r="W92" s="110"/>
      <c r="X92" s="110"/>
      <c r="Y92" s="110"/>
      <c r="Z92" s="110"/>
      <c r="AA92" s="110"/>
    </row>
    <row r="93" spans="1:27" ht="14">
      <c r="A93" s="97">
        <f t="shared" si="11"/>
        <v>14</v>
      </c>
      <c r="B93" s="98" t="s">
        <v>1597</v>
      </c>
      <c r="C93" s="99" t="s">
        <v>1559</v>
      </c>
      <c r="D93" s="100">
        <v>46176</v>
      </c>
      <c r="E93" s="114" t="e">
        <f>VLOOKUP($C93,xe!$A:$B,2,0)</f>
        <v>#N/A</v>
      </c>
      <c r="F93" s="101" t="str">
        <f>VLOOKUP($B93,ma!$A:$B,2,0)</f>
        <v>PHẠM PHAN MES CỦ CHI ( K BX )</v>
      </c>
      <c r="G93" s="102" t="s">
        <v>1598</v>
      </c>
      <c r="H93" s="103" t="s">
        <v>1518</v>
      </c>
      <c r="I93" s="104"/>
      <c r="J93" s="99"/>
      <c r="K93" s="106">
        <v>1.8</v>
      </c>
      <c r="L93" s="107">
        <f t="shared" ref="L93:L94" si="13">K93*80000</f>
        <v>144000</v>
      </c>
      <c r="M93" s="104"/>
      <c r="N93" s="101"/>
      <c r="O93" s="101">
        <v>1</v>
      </c>
      <c r="P93" s="104">
        <f>VLOOKUP($B93,ma!$A:$C,3,0)</f>
        <v>900000</v>
      </c>
      <c r="Q93" s="108">
        <v>990000</v>
      </c>
      <c r="R93" s="109">
        <v>0.1</v>
      </c>
      <c r="S93" s="110"/>
      <c r="T93" s="110"/>
      <c r="U93" s="110"/>
      <c r="V93" s="110"/>
      <c r="W93" s="110"/>
      <c r="X93" s="110"/>
      <c r="Y93" s="110"/>
      <c r="Z93" s="110"/>
      <c r="AA93" s="110"/>
    </row>
    <row r="94" spans="1:27" ht="14">
      <c r="A94" s="97">
        <f t="shared" si="11"/>
        <v>15</v>
      </c>
      <c r="B94" s="98" t="s">
        <v>1597</v>
      </c>
      <c r="C94" s="99" t="s">
        <v>1552</v>
      </c>
      <c r="D94" s="100">
        <v>46176</v>
      </c>
      <c r="E94" s="99" t="str">
        <f>VLOOKUP($C94,xe!$A:$B,2,0)</f>
        <v>50H-64470</v>
      </c>
      <c r="F94" s="101" t="str">
        <f>VLOOKUP($B94,ma!$A:$B,2,0)</f>
        <v>PHẠM PHAN MES CỦ CHI ( K BX )</v>
      </c>
      <c r="G94" s="102" t="s">
        <v>1599</v>
      </c>
      <c r="H94" s="103" t="s">
        <v>1473</v>
      </c>
      <c r="I94" s="104"/>
      <c r="J94" s="99"/>
      <c r="K94" s="106">
        <v>1.8</v>
      </c>
      <c r="L94" s="107">
        <f t="shared" si="13"/>
        <v>144000</v>
      </c>
      <c r="M94" s="104"/>
      <c r="N94" s="101"/>
      <c r="O94" s="101">
        <v>1</v>
      </c>
      <c r="P94" s="104">
        <f>VLOOKUP($B94,ma!$A:$C,3,0)</f>
        <v>900000</v>
      </c>
      <c r="Q94" s="108">
        <v>990000</v>
      </c>
      <c r="R94" s="109">
        <v>0.1</v>
      </c>
      <c r="S94" s="110"/>
      <c r="T94" s="110"/>
      <c r="U94" s="110"/>
      <c r="V94" s="110"/>
      <c r="W94" s="110"/>
      <c r="X94" s="110"/>
      <c r="Y94" s="110"/>
      <c r="Z94" s="110"/>
      <c r="AA94" s="110"/>
    </row>
    <row r="95" spans="1:27" ht="14">
      <c r="A95" s="97">
        <f t="shared" si="11"/>
        <v>16</v>
      </c>
      <c r="B95" s="98" t="s">
        <v>1600</v>
      </c>
      <c r="C95" s="99" t="s">
        <v>1576</v>
      </c>
      <c r="D95" s="100">
        <v>46176</v>
      </c>
      <c r="E95" s="99" t="str">
        <f>VLOOKUP($C95,xe!$A:$B,2,0)</f>
        <v>50H-74619</v>
      </c>
      <c r="F95" s="101" t="str">
        <f>VLOOKUP($B95,ma!$A:$B,2,0)</f>
        <v>PHONG VÂN ( K BX )</v>
      </c>
      <c r="G95" s="102" t="s">
        <v>1601</v>
      </c>
      <c r="H95" s="103" t="s">
        <v>1481</v>
      </c>
      <c r="I95" s="104"/>
      <c r="J95" s="99"/>
      <c r="K95" s="106">
        <v>2</v>
      </c>
      <c r="L95" s="107">
        <v>50000</v>
      </c>
      <c r="M95" s="104"/>
      <c r="N95" s="101"/>
      <c r="O95" s="101">
        <v>1</v>
      </c>
      <c r="P95" s="104">
        <f>VLOOKUP($B95,ma!$A:$C,3,0)</f>
        <v>800000</v>
      </c>
      <c r="Q95" s="108">
        <v>880000</v>
      </c>
      <c r="R95" s="109">
        <v>0.1</v>
      </c>
      <c r="S95" s="110"/>
      <c r="T95" s="110"/>
      <c r="U95" s="110"/>
      <c r="V95" s="110"/>
      <c r="W95" s="110"/>
      <c r="X95" s="110"/>
      <c r="Y95" s="110"/>
      <c r="Z95" s="110"/>
      <c r="AA95" s="110"/>
    </row>
    <row r="96" spans="1:27" ht="14">
      <c r="A96" s="97">
        <f t="shared" si="11"/>
        <v>17</v>
      </c>
      <c r="B96" s="98" t="s">
        <v>1600</v>
      </c>
      <c r="C96" s="99" t="s">
        <v>1572</v>
      </c>
      <c r="D96" s="100">
        <v>46176</v>
      </c>
      <c r="E96" s="99" t="str">
        <f>VLOOKUP($C96,xe!$A:$B,2,0)</f>
        <v>50H-69501</v>
      </c>
      <c r="F96" s="101" t="str">
        <f>VLOOKUP($B96,ma!$A:$B,2,0)</f>
        <v>PHONG VÂN ( K BX )</v>
      </c>
      <c r="G96" s="102" t="s">
        <v>1602</v>
      </c>
      <c r="H96" s="103" t="s">
        <v>1473</v>
      </c>
      <c r="I96" s="104"/>
      <c r="J96" s="99"/>
      <c r="K96" s="106">
        <v>2</v>
      </c>
      <c r="L96" s="107">
        <v>50000</v>
      </c>
      <c r="M96" s="104"/>
      <c r="N96" s="101"/>
      <c r="O96" s="101">
        <v>1</v>
      </c>
      <c r="P96" s="104">
        <f>VLOOKUP($B96,ma!$A:$C,3,0)</f>
        <v>800000</v>
      </c>
      <c r="Q96" s="108">
        <v>880000</v>
      </c>
      <c r="R96" s="109">
        <v>0.1</v>
      </c>
      <c r="S96" s="110"/>
      <c r="T96" s="110"/>
      <c r="U96" s="110"/>
      <c r="V96" s="110"/>
      <c r="W96" s="110"/>
      <c r="X96" s="110"/>
      <c r="Y96" s="110"/>
      <c r="Z96" s="110"/>
      <c r="AA96" s="110"/>
    </row>
    <row r="97" spans="1:27" ht="14">
      <c r="A97" s="97">
        <f t="shared" si="11"/>
        <v>18</v>
      </c>
      <c r="B97" s="98" t="s">
        <v>1600</v>
      </c>
      <c r="C97" s="99" t="s">
        <v>24</v>
      </c>
      <c r="D97" s="100">
        <v>46176</v>
      </c>
      <c r="E97" s="99" t="str">
        <f>VLOOKUP($C97,xe!$A:$B,2,0)</f>
        <v>50H-55161</v>
      </c>
      <c r="F97" s="101" t="str">
        <f>VLOOKUP($B97,ma!$A:$B,2,0)</f>
        <v>PHONG VÂN ( K BX )</v>
      </c>
      <c r="G97" s="102" t="s">
        <v>1603</v>
      </c>
      <c r="H97" s="103" t="s">
        <v>1473</v>
      </c>
      <c r="I97" s="104"/>
      <c r="J97" s="99"/>
      <c r="K97" s="106">
        <v>2</v>
      </c>
      <c r="L97" s="107">
        <v>50000</v>
      </c>
      <c r="M97" s="104"/>
      <c r="N97" s="101"/>
      <c r="O97" s="101">
        <v>1</v>
      </c>
      <c r="P97" s="104">
        <f>VLOOKUP($B97,ma!$A:$C,3,0)</f>
        <v>800000</v>
      </c>
      <c r="Q97" s="108">
        <v>880000</v>
      </c>
      <c r="R97" s="109">
        <v>0.1</v>
      </c>
      <c r="S97" s="110"/>
      <c r="T97" s="110"/>
      <c r="U97" s="110"/>
      <c r="V97" s="110"/>
      <c r="W97" s="110"/>
      <c r="X97" s="110"/>
      <c r="Y97" s="110"/>
      <c r="Z97" s="110"/>
      <c r="AA97" s="110"/>
    </row>
    <row r="98" spans="1:27" ht="14">
      <c r="A98" s="97">
        <f t="shared" si="11"/>
        <v>19</v>
      </c>
      <c r="B98" s="98" t="s">
        <v>1600</v>
      </c>
      <c r="C98" s="99" t="s">
        <v>1509</v>
      </c>
      <c r="D98" s="100">
        <v>46176</v>
      </c>
      <c r="E98" s="99" t="str">
        <f>VLOOKUP($C98,xe!$A:$B,2,0)</f>
        <v>50H-70216</v>
      </c>
      <c r="F98" s="101" t="str">
        <f>VLOOKUP($B98,ma!$A:$B,2,0)</f>
        <v>PHONG VÂN ( K BX )</v>
      </c>
      <c r="G98" s="102" t="s">
        <v>1604</v>
      </c>
      <c r="H98" s="103" t="s">
        <v>1473</v>
      </c>
      <c r="I98" s="104"/>
      <c r="J98" s="99"/>
      <c r="K98" s="106">
        <v>2</v>
      </c>
      <c r="L98" s="107">
        <v>50000</v>
      </c>
      <c r="M98" s="104"/>
      <c r="N98" s="101"/>
      <c r="O98" s="101">
        <v>1</v>
      </c>
      <c r="P98" s="104">
        <f>VLOOKUP($B98,ma!$A:$C,3,0)</f>
        <v>800000</v>
      </c>
      <c r="Q98" s="108">
        <v>880000</v>
      </c>
      <c r="R98" s="109">
        <v>0.1</v>
      </c>
      <c r="S98" s="110"/>
      <c r="T98" s="110"/>
      <c r="U98" s="110"/>
      <c r="V98" s="110"/>
      <c r="W98" s="110"/>
      <c r="X98" s="110"/>
      <c r="Y98" s="110"/>
      <c r="Z98" s="110"/>
      <c r="AA98" s="110"/>
    </row>
    <row r="99" spans="1:27" ht="14">
      <c r="A99" s="97">
        <f t="shared" si="11"/>
        <v>20</v>
      </c>
      <c r="B99" s="98" t="s">
        <v>1600</v>
      </c>
      <c r="C99" s="99" t="s">
        <v>1554</v>
      </c>
      <c r="D99" s="100">
        <v>46176</v>
      </c>
      <c r="E99" s="99" t="str">
        <f>VLOOKUP($C99,xe!$A:$B,2,0)</f>
        <v>50H-63174</v>
      </c>
      <c r="F99" s="101" t="str">
        <f>VLOOKUP($B99,ma!$A:$B,2,0)</f>
        <v>PHONG VÂN ( K BX )</v>
      </c>
      <c r="G99" s="102" t="s">
        <v>1605</v>
      </c>
      <c r="H99" s="103" t="s">
        <v>1473</v>
      </c>
      <c r="I99" s="104"/>
      <c r="J99" s="99"/>
      <c r="K99" s="106">
        <v>2</v>
      </c>
      <c r="L99" s="107">
        <v>50000</v>
      </c>
      <c r="M99" s="104"/>
      <c r="N99" s="101"/>
      <c r="O99" s="101">
        <v>1</v>
      </c>
      <c r="P99" s="104">
        <f>VLOOKUP($B99,ma!$A:$C,3,0)</f>
        <v>800000</v>
      </c>
      <c r="Q99" s="108">
        <v>880000</v>
      </c>
      <c r="R99" s="109">
        <v>0.1</v>
      </c>
      <c r="S99" s="110"/>
      <c r="T99" s="110"/>
      <c r="U99" s="110"/>
      <c r="V99" s="110"/>
      <c r="W99" s="110"/>
      <c r="X99" s="110"/>
      <c r="Y99" s="110"/>
      <c r="Z99" s="110"/>
      <c r="AA99" s="110"/>
    </row>
    <row r="100" spans="1:27" ht="14">
      <c r="A100" s="97">
        <f t="shared" si="11"/>
        <v>21</v>
      </c>
      <c r="B100" s="98" t="s">
        <v>1600</v>
      </c>
      <c r="C100" s="99" t="s">
        <v>1538</v>
      </c>
      <c r="D100" s="100">
        <v>46176</v>
      </c>
      <c r="E100" s="99" t="str">
        <f>VLOOKUP($C100,xe!$A:$B,2,0)</f>
        <v>50E-164,61</v>
      </c>
      <c r="F100" s="101" t="str">
        <f>VLOOKUP($B100,ma!$A:$B,2,0)</f>
        <v>PHONG VÂN ( K BX )</v>
      </c>
      <c r="G100" s="102" t="s">
        <v>1606</v>
      </c>
      <c r="H100" s="103" t="s">
        <v>1473</v>
      </c>
      <c r="I100" s="104"/>
      <c r="J100" s="99"/>
      <c r="K100" s="106">
        <v>2</v>
      </c>
      <c r="L100" s="107">
        <v>50000</v>
      </c>
      <c r="M100" s="104"/>
      <c r="N100" s="101"/>
      <c r="O100" s="101">
        <v>1</v>
      </c>
      <c r="P100" s="104">
        <f>VLOOKUP($B100,ma!$A:$C,3,0)</f>
        <v>800000</v>
      </c>
      <c r="Q100" s="108">
        <v>880000</v>
      </c>
      <c r="R100" s="109">
        <v>0.1</v>
      </c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spans="1:27" ht="14">
      <c r="A101" s="97">
        <f t="shared" si="11"/>
        <v>22</v>
      </c>
      <c r="B101" s="98" t="s">
        <v>1600</v>
      </c>
      <c r="C101" s="99" t="s">
        <v>1561</v>
      </c>
      <c r="D101" s="100">
        <v>46176</v>
      </c>
      <c r="E101" s="99" t="e">
        <f>VLOOKUP($C101,xe!$A:$B,2,0)</f>
        <v>#N/A</v>
      </c>
      <c r="F101" s="101" t="str">
        <f>VLOOKUP($B101,ma!$A:$B,2,0)</f>
        <v>PHONG VÂN ( K BX )</v>
      </c>
      <c r="G101" s="102" t="s">
        <v>1607</v>
      </c>
      <c r="H101" s="103" t="s">
        <v>1473</v>
      </c>
      <c r="I101" s="104"/>
      <c r="J101" s="99"/>
      <c r="K101" s="106">
        <v>2</v>
      </c>
      <c r="L101" s="107"/>
      <c r="M101" s="104"/>
      <c r="N101" s="101"/>
      <c r="O101" s="101">
        <v>1</v>
      </c>
      <c r="P101" s="104">
        <f>VLOOKUP($B101,ma!$A:$C,3,0)</f>
        <v>800000</v>
      </c>
      <c r="Q101" s="108">
        <v>880000</v>
      </c>
      <c r="R101" s="109">
        <v>0.1</v>
      </c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spans="1:27" ht="14">
      <c r="A102" s="97">
        <f t="shared" si="11"/>
        <v>23</v>
      </c>
      <c r="B102" s="98" t="s">
        <v>893</v>
      </c>
      <c r="C102" s="99" t="s">
        <v>1570</v>
      </c>
      <c r="D102" s="100">
        <v>46176</v>
      </c>
      <c r="E102" s="99" t="str">
        <f>VLOOKUP($C102,xe!$A:$B,2,0)</f>
        <v>50H-66445</v>
      </c>
      <c r="F102" s="101" t="str">
        <f>VLOOKUP($B102,ma!$A:$B,2,0)</f>
        <v>VĂN HẬU Q8 ( K BX )</v>
      </c>
      <c r="G102" s="102" t="s">
        <v>1499</v>
      </c>
      <c r="H102" s="103" t="s">
        <v>1499</v>
      </c>
      <c r="I102" s="104"/>
      <c r="J102" s="99"/>
      <c r="K102" s="106">
        <v>2.2000000000000002</v>
      </c>
      <c r="L102" s="107">
        <v>50000</v>
      </c>
      <c r="M102" s="104"/>
      <c r="N102" s="101"/>
      <c r="O102" s="101">
        <v>1</v>
      </c>
      <c r="P102" s="104">
        <f>VLOOKUP($B102,ma!$A:$C,3,0)</f>
        <v>800000</v>
      </c>
      <c r="Q102" s="108">
        <v>880000</v>
      </c>
      <c r="R102" s="109">
        <v>0.1</v>
      </c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spans="1:27" ht="14">
      <c r="A103" s="97">
        <f t="shared" si="11"/>
        <v>24</v>
      </c>
      <c r="B103" s="98" t="s">
        <v>1608</v>
      </c>
      <c r="C103" s="99" t="s">
        <v>18</v>
      </c>
      <c r="D103" s="100">
        <v>46176</v>
      </c>
      <c r="E103" s="99" t="str">
        <f>VLOOKUP($C103,xe!$A:$B,2,0)</f>
        <v>50H 87442</v>
      </c>
      <c r="F103" s="101" t="str">
        <f>VLOOKUP($B103,ma!$A:$B,2,0)</f>
        <v>COOP LÊ MINH XUÂN</v>
      </c>
      <c r="G103" s="102" t="s">
        <v>1609</v>
      </c>
      <c r="H103" s="103" t="s">
        <v>1481</v>
      </c>
      <c r="I103" s="104"/>
      <c r="J103" s="99"/>
      <c r="K103" s="106">
        <v>2.2000000000000002</v>
      </c>
      <c r="L103" s="107">
        <f t="shared" ref="L103:L104" si="14">K103*50000</f>
        <v>110000.00000000001</v>
      </c>
      <c r="M103" s="104"/>
      <c r="N103" s="101"/>
      <c r="O103" s="101">
        <v>1</v>
      </c>
      <c r="P103" s="104">
        <f>VLOOKUP($B103,ma!$A:$C,3,0)</f>
        <v>800000</v>
      </c>
      <c r="Q103" s="108">
        <v>880000</v>
      </c>
      <c r="R103" s="109">
        <v>0.1</v>
      </c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spans="1:27" ht="14">
      <c r="A104" s="97">
        <f t="shared" si="11"/>
        <v>25</v>
      </c>
      <c r="B104" s="98" t="s">
        <v>1608</v>
      </c>
      <c r="C104" s="99" t="s">
        <v>1565</v>
      </c>
      <c r="D104" s="100">
        <v>46176</v>
      </c>
      <c r="E104" s="99" t="str">
        <f>VLOOKUP($C104,xe!$A:$B,2,0)</f>
        <v>50H-55116</v>
      </c>
      <c r="F104" s="101" t="str">
        <f>VLOOKUP($B104,ma!$A:$B,2,0)</f>
        <v>COOP LÊ MINH XUÂN</v>
      </c>
      <c r="G104" s="102" t="s">
        <v>1610</v>
      </c>
      <c r="H104" s="103" t="s">
        <v>1481</v>
      </c>
      <c r="I104" s="104"/>
      <c r="J104" s="99"/>
      <c r="K104" s="106">
        <v>1.8</v>
      </c>
      <c r="L104" s="107">
        <f t="shared" si="14"/>
        <v>90000</v>
      </c>
      <c r="M104" s="104"/>
      <c r="N104" s="101"/>
      <c r="O104" s="101">
        <v>1</v>
      </c>
      <c r="P104" s="104">
        <f>VLOOKUP($B104,ma!$A:$C,3,0)</f>
        <v>800000</v>
      </c>
      <c r="Q104" s="108">
        <v>880000</v>
      </c>
      <c r="R104" s="109">
        <v>0.1</v>
      </c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spans="1:27" ht="14">
      <c r="A105" s="97">
        <f t="shared" si="11"/>
        <v>26</v>
      </c>
      <c r="B105" s="98" t="s">
        <v>1546</v>
      </c>
      <c r="C105" s="99" t="s">
        <v>1511</v>
      </c>
      <c r="D105" s="100">
        <v>46176</v>
      </c>
      <c r="E105" s="99" t="str">
        <f>VLOOKUP($C105,xe!$A:$B,2,0)</f>
        <v>50H-54580</v>
      </c>
      <c r="F105" s="101" t="str">
        <f>VLOOKUP($B105,ma!$A:$B,2,0)</f>
        <v>BHX NHÀ BÈ</v>
      </c>
      <c r="G105" s="102" t="s">
        <v>1611</v>
      </c>
      <c r="H105" s="103" t="s">
        <v>1473</v>
      </c>
      <c r="I105" s="104"/>
      <c r="J105" s="126" t="s">
        <v>1520</v>
      </c>
      <c r="K105" s="106">
        <v>2</v>
      </c>
      <c r="L105" s="113">
        <v>190000</v>
      </c>
      <c r="M105" s="104"/>
      <c r="N105" s="101"/>
      <c r="O105" s="101">
        <v>1</v>
      </c>
      <c r="P105" s="104">
        <f>VLOOKUP($B105,ma!$A:$C,3,0)</f>
        <v>400000</v>
      </c>
      <c r="Q105" s="108">
        <v>440000</v>
      </c>
      <c r="R105" s="109">
        <v>0.1</v>
      </c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spans="1:27" ht="14">
      <c r="A106" s="116">
        <v>1</v>
      </c>
      <c r="B106" s="117" t="s">
        <v>1612</v>
      </c>
      <c r="C106" s="118" t="s">
        <v>1488</v>
      </c>
      <c r="D106" s="119">
        <v>46177</v>
      </c>
      <c r="E106" s="118" t="e">
        <f>VLOOKUP($C106,xe!$A:$B,2,0)</f>
        <v>#N/A</v>
      </c>
      <c r="F106" s="120" t="str">
        <f>VLOOKUP($B106,ma!$A:$B,2,0)</f>
        <v>E MART SALA</v>
      </c>
      <c r="G106" s="121" t="s">
        <v>1613</v>
      </c>
      <c r="H106" s="122" t="s">
        <v>1481</v>
      </c>
      <c r="I106" s="123"/>
      <c r="J106" s="105" t="s">
        <v>1614</v>
      </c>
      <c r="K106" s="124">
        <v>2</v>
      </c>
      <c r="L106" s="125">
        <f>K106*50000</f>
        <v>100000</v>
      </c>
      <c r="M106" s="123"/>
      <c r="N106" s="120"/>
      <c r="O106" s="120">
        <v>1</v>
      </c>
      <c r="P106" s="123">
        <f>VLOOKUP($B106,ma!$A:$C,3,0)</f>
        <v>800000</v>
      </c>
      <c r="Q106" s="108">
        <v>880000</v>
      </c>
      <c r="R106" s="109">
        <v>0.1</v>
      </c>
      <c r="S106" s="111"/>
      <c r="T106" s="111"/>
      <c r="U106" s="111"/>
      <c r="V106" s="111"/>
      <c r="W106" s="111"/>
      <c r="X106" s="111"/>
      <c r="Y106" s="111"/>
      <c r="Z106" s="111"/>
      <c r="AA106" s="111"/>
    </row>
    <row r="107" spans="1:27" ht="14">
      <c r="A107" s="97">
        <f t="shared" ref="A107:A137" si="15">A106+1</f>
        <v>2</v>
      </c>
      <c r="B107" s="98" t="s">
        <v>1615</v>
      </c>
      <c r="C107" s="99" t="s">
        <v>54</v>
      </c>
      <c r="D107" s="100">
        <v>46177</v>
      </c>
      <c r="E107" s="99" t="e">
        <f>VLOOKUP($C107,xe!$A:$B,2,0)</f>
        <v>#N/A</v>
      </c>
      <c r="F107" s="101" t="str">
        <f>VLOOKUP($B107,ma!$A:$B,2,0)</f>
        <v>NAM VIỆT ĐỖ H.MÔN ( K BX)</v>
      </c>
      <c r="G107" s="102" t="s">
        <v>1616</v>
      </c>
      <c r="H107" s="103" t="s">
        <v>1481</v>
      </c>
      <c r="I107" s="104"/>
      <c r="J107" s="105" t="s">
        <v>1614</v>
      </c>
      <c r="K107" s="106">
        <v>2</v>
      </c>
      <c r="L107" s="107"/>
      <c r="M107" s="104"/>
      <c r="N107" s="101"/>
      <c r="O107" s="101">
        <v>1</v>
      </c>
      <c r="P107" s="104">
        <f>VLOOKUP($B107,ma!$A:$C,3,0)</f>
        <v>800000</v>
      </c>
      <c r="Q107" s="108">
        <v>880000</v>
      </c>
      <c r="R107" s="109">
        <v>0.1</v>
      </c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spans="1:27" ht="14">
      <c r="A108" s="97">
        <f t="shared" si="15"/>
        <v>3</v>
      </c>
      <c r="B108" s="98" t="s">
        <v>1490</v>
      </c>
      <c r="C108" s="99" t="s">
        <v>1561</v>
      </c>
      <c r="D108" s="100">
        <v>46177</v>
      </c>
      <c r="E108" s="99" t="e">
        <f>VLOOKUP($C108,xe!$A:$B,2,0)</f>
        <v>#N/A</v>
      </c>
      <c r="F108" s="101" t="str">
        <f>VLOOKUP($B108,ma!$A:$B,2,0)</f>
        <v>BC MIỀN ĐÔNG</v>
      </c>
      <c r="G108" s="102" t="s">
        <v>1617</v>
      </c>
      <c r="H108" s="103" t="s">
        <v>1518</v>
      </c>
      <c r="I108" s="104"/>
      <c r="J108" s="126" t="s">
        <v>1618</v>
      </c>
      <c r="K108" s="106">
        <v>1.6</v>
      </c>
      <c r="L108" s="107">
        <f t="shared" ref="L108:L109" si="16">K108*50000</f>
        <v>80000</v>
      </c>
      <c r="M108" s="104"/>
      <c r="N108" s="101"/>
      <c r="O108" s="101">
        <v>1</v>
      </c>
      <c r="P108" s="104">
        <f>VLOOKUP($B108,ma!$A:$C,3,0)</f>
        <v>800000</v>
      </c>
      <c r="Q108" s="108">
        <v>880000</v>
      </c>
      <c r="R108" s="109">
        <v>0.1</v>
      </c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spans="1:27" ht="14">
      <c r="A109" s="97">
        <f t="shared" si="15"/>
        <v>4</v>
      </c>
      <c r="B109" s="98" t="s">
        <v>1490</v>
      </c>
      <c r="C109" s="99" t="s">
        <v>1559</v>
      </c>
      <c r="D109" s="100">
        <v>46177</v>
      </c>
      <c r="E109" s="114" t="e">
        <f>VLOOKUP($C109,xe!$A:$B,2,0)</f>
        <v>#N/A</v>
      </c>
      <c r="F109" s="101" t="str">
        <f>VLOOKUP($B109,ma!$A:$B,2,0)</f>
        <v>BC MIỀN ĐÔNG</v>
      </c>
      <c r="G109" s="102" t="s">
        <v>1619</v>
      </c>
      <c r="H109" s="103" t="s">
        <v>1518</v>
      </c>
      <c r="I109" s="104"/>
      <c r="J109" s="126" t="s">
        <v>1620</v>
      </c>
      <c r="K109" s="106">
        <v>1.6</v>
      </c>
      <c r="L109" s="107">
        <f t="shared" si="16"/>
        <v>80000</v>
      </c>
      <c r="M109" s="104"/>
      <c r="N109" s="101"/>
      <c r="O109" s="101">
        <v>1</v>
      </c>
      <c r="P109" s="104">
        <f>VLOOKUP($B109,ma!$A:$C,3,0)</f>
        <v>800000</v>
      </c>
      <c r="Q109" s="108">
        <v>880000</v>
      </c>
      <c r="R109" s="109">
        <v>0.1</v>
      </c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spans="1:27" ht="14">
      <c r="A110" s="97">
        <f t="shared" si="15"/>
        <v>5</v>
      </c>
      <c r="B110" s="98" t="s">
        <v>1621</v>
      </c>
      <c r="C110" s="99" t="s">
        <v>1503</v>
      </c>
      <c r="D110" s="100">
        <v>46177</v>
      </c>
      <c r="E110" s="99" t="str">
        <f>VLOOKUP($C110,xe!$A:$B,2,0)</f>
        <v>50E-164,61</v>
      </c>
      <c r="F110" s="101" t="str">
        <f>VLOOKUP($B110,ma!$A:$B,2,0)</f>
        <v>PHONG VÂN - GÒ VẤP ( K BX )</v>
      </c>
      <c r="G110" s="102" t="s">
        <v>1622</v>
      </c>
      <c r="H110" s="103" t="s">
        <v>1481</v>
      </c>
      <c r="I110" s="104"/>
      <c r="J110" s="99"/>
      <c r="K110" s="106">
        <v>2.2000000000000002</v>
      </c>
      <c r="L110" s="107">
        <v>50000</v>
      </c>
      <c r="M110" s="104"/>
      <c r="N110" s="101"/>
      <c r="O110" s="101">
        <v>1</v>
      </c>
      <c r="P110" s="104">
        <f>VLOOKUP($B110,ma!$A:$C,3,0)</f>
        <v>800000</v>
      </c>
      <c r="Q110" s="108">
        <v>880000</v>
      </c>
      <c r="R110" s="109">
        <v>0.1</v>
      </c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spans="1:27" ht="14">
      <c r="A111" s="97">
        <f t="shared" si="15"/>
        <v>6</v>
      </c>
      <c r="B111" s="98" t="s">
        <v>1621</v>
      </c>
      <c r="C111" s="99" t="s">
        <v>1552</v>
      </c>
      <c r="D111" s="100">
        <v>46177</v>
      </c>
      <c r="E111" s="99" t="str">
        <f>VLOOKUP($C111,xe!$A:$B,2,0)</f>
        <v>50H-64470</v>
      </c>
      <c r="F111" s="101" t="str">
        <f>VLOOKUP($B111,ma!$A:$B,2,0)</f>
        <v>PHONG VÂN - GÒ VẤP ( K BX )</v>
      </c>
      <c r="G111" s="102" t="s">
        <v>1623</v>
      </c>
      <c r="H111" s="103" t="s">
        <v>1481</v>
      </c>
      <c r="I111" s="104"/>
      <c r="J111" s="99"/>
      <c r="K111" s="106">
        <v>2</v>
      </c>
      <c r="L111" s="107">
        <v>50000</v>
      </c>
      <c r="M111" s="104"/>
      <c r="N111" s="101"/>
      <c r="O111" s="101">
        <v>1</v>
      </c>
      <c r="P111" s="104">
        <f>VLOOKUP($B111,ma!$A:$C,3,0)</f>
        <v>800000</v>
      </c>
      <c r="Q111" s="108">
        <v>880000</v>
      </c>
      <c r="R111" s="109">
        <v>0.1</v>
      </c>
      <c r="S111" s="111"/>
      <c r="T111" s="111"/>
      <c r="U111" s="111"/>
      <c r="V111" s="111"/>
      <c r="W111" s="111"/>
      <c r="X111" s="111"/>
      <c r="Y111" s="111"/>
      <c r="Z111" s="111"/>
      <c r="AA111" s="111"/>
    </row>
    <row r="112" spans="1:27" ht="14">
      <c r="A112" s="97">
        <f t="shared" si="15"/>
        <v>7</v>
      </c>
      <c r="B112" s="98" t="s">
        <v>1621</v>
      </c>
      <c r="C112" s="99" t="s">
        <v>1511</v>
      </c>
      <c r="D112" s="100">
        <v>46177</v>
      </c>
      <c r="E112" s="99" t="str">
        <f>VLOOKUP($C112,xe!$A:$B,2,0)</f>
        <v>50H-54580</v>
      </c>
      <c r="F112" s="101" t="str">
        <f>VLOOKUP($B112,ma!$A:$B,2,0)</f>
        <v>PHONG VÂN - GÒ VẤP ( K BX )</v>
      </c>
      <c r="G112" s="102" t="s">
        <v>1624</v>
      </c>
      <c r="H112" s="103" t="s">
        <v>1481</v>
      </c>
      <c r="I112" s="104"/>
      <c r="J112" s="99"/>
      <c r="K112" s="106">
        <v>2.2000000000000002</v>
      </c>
      <c r="L112" s="107">
        <v>50000</v>
      </c>
      <c r="M112" s="104"/>
      <c r="N112" s="101"/>
      <c r="O112" s="101">
        <v>1</v>
      </c>
      <c r="P112" s="104">
        <f>VLOOKUP($B112,ma!$A:$C,3,0)</f>
        <v>800000</v>
      </c>
      <c r="Q112" s="108">
        <v>880000</v>
      </c>
      <c r="R112" s="109">
        <v>0.1</v>
      </c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spans="1:27" ht="14">
      <c r="A113" s="97">
        <f t="shared" si="15"/>
        <v>8</v>
      </c>
      <c r="B113" s="98" t="s">
        <v>1625</v>
      </c>
      <c r="C113" s="99" t="s">
        <v>1570</v>
      </c>
      <c r="D113" s="100">
        <v>46177</v>
      </c>
      <c r="E113" s="99" t="str">
        <f>VLOOKUP($C113,xe!$A:$B,2,0)</f>
        <v>50H-66445</v>
      </c>
      <c r="F113" s="101" t="str">
        <f>VLOOKUP($B113,ma!$A:$B,2,0)</f>
        <v>VĨNH PHONG</v>
      </c>
      <c r="G113" s="102" t="s">
        <v>1626</v>
      </c>
      <c r="H113" s="103" t="s">
        <v>1481</v>
      </c>
      <c r="I113" s="104"/>
      <c r="J113" s="99"/>
      <c r="K113" s="106">
        <v>1.2</v>
      </c>
      <c r="L113" s="107">
        <f t="shared" ref="L113:L118" si="17">K113*50000</f>
        <v>60000</v>
      </c>
      <c r="M113" s="104"/>
      <c r="N113" s="101"/>
      <c r="O113" s="101">
        <v>1</v>
      </c>
      <c r="P113" s="104">
        <f>VLOOKUP($B113,ma!$A:$C,3,0)</f>
        <v>800000</v>
      </c>
      <c r="Q113" s="108">
        <v>880000</v>
      </c>
      <c r="R113" s="109">
        <v>0.1</v>
      </c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spans="1:27" ht="14">
      <c r="A114" s="97">
        <f t="shared" si="15"/>
        <v>9</v>
      </c>
      <c r="B114" s="98" t="s">
        <v>1627</v>
      </c>
      <c r="C114" s="99" t="s">
        <v>1572</v>
      </c>
      <c r="D114" s="100">
        <v>46177</v>
      </c>
      <c r="E114" s="99" t="str">
        <f>VLOOKUP($C114,xe!$A:$B,2,0)</f>
        <v>50H-69501</v>
      </c>
      <c r="F114" s="101" t="str">
        <f>VLOOKUP($B114,ma!$A:$B,2,0)</f>
        <v>HƯNG QUẾ</v>
      </c>
      <c r="G114" s="102" t="s">
        <v>1628</v>
      </c>
      <c r="H114" s="103" t="s">
        <v>1518</v>
      </c>
      <c r="I114" s="104"/>
      <c r="J114" s="99"/>
      <c r="K114" s="106">
        <v>1.4</v>
      </c>
      <c r="L114" s="107">
        <f t="shared" si="17"/>
        <v>70000</v>
      </c>
      <c r="M114" s="104"/>
      <c r="N114" s="101"/>
      <c r="O114" s="101">
        <v>1</v>
      </c>
      <c r="P114" s="104">
        <f>VLOOKUP($B114,ma!$A:$C,3,0)</f>
        <v>800000</v>
      </c>
      <c r="Q114" s="108">
        <v>880000</v>
      </c>
      <c r="R114" s="109">
        <v>0.1</v>
      </c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spans="1:27" ht="14">
      <c r="A115" s="97">
        <f t="shared" si="15"/>
        <v>10</v>
      </c>
      <c r="B115" s="98" t="s">
        <v>1629</v>
      </c>
      <c r="C115" s="99" t="s">
        <v>10</v>
      </c>
      <c r="D115" s="100">
        <v>46177</v>
      </c>
      <c r="E115" s="99" t="str">
        <f>VLOOKUP($C115,xe!$A:$B,2,0)</f>
        <v>50H-50999</v>
      </c>
      <c r="F115" s="101" t="str">
        <f>VLOOKUP($B115,ma!$A:$B,2,0)</f>
        <v>N.N.HƯNG</v>
      </c>
      <c r="G115" s="102" t="s">
        <v>1630</v>
      </c>
      <c r="H115" s="103" t="s">
        <v>1481</v>
      </c>
      <c r="I115" s="104"/>
      <c r="J115" s="99"/>
      <c r="K115" s="106">
        <v>1.2</v>
      </c>
      <c r="L115" s="107">
        <f t="shared" si="17"/>
        <v>60000</v>
      </c>
      <c r="M115" s="104"/>
      <c r="N115" s="101"/>
      <c r="O115" s="101">
        <v>1</v>
      </c>
      <c r="P115" s="104">
        <f>VLOOKUP($B115,ma!$A:$C,3,0)</f>
        <v>800000</v>
      </c>
      <c r="Q115" s="108">
        <v>880000</v>
      </c>
      <c r="R115" s="109">
        <v>0.1</v>
      </c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spans="1:27" ht="14">
      <c r="A116" s="97">
        <f t="shared" si="15"/>
        <v>11</v>
      </c>
      <c r="B116" s="98" t="s">
        <v>1492</v>
      </c>
      <c r="C116" s="99" t="s">
        <v>14</v>
      </c>
      <c r="D116" s="100">
        <v>46177</v>
      </c>
      <c r="E116" s="99" t="str">
        <f>VLOOKUP($C116,xe!$A:$B,2,0)</f>
        <v>51H -88294</v>
      </c>
      <c r="F116" s="101" t="str">
        <f>VLOOKUP($B116,ma!$A:$B,2,0)</f>
        <v>NGUYỄN TRƯƠNG</v>
      </c>
      <c r="G116" s="102" t="s">
        <v>1631</v>
      </c>
      <c r="H116" s="103" t="s">
        <v>1481</v>
      </c>
      <c r="I116" s="104"/>
      <c r="J116" s="99"/>
      <c r="K116" s="106">
        <v>1.6</v>
      </c>
      <c r="L116" s="107">
        <f t="shared" si="17"/>
        <v>80000</v>
      </c>
      <c r="M116" s="104"/>
      <c r="N116" s="101"/>
      <c r="O116" s="101">
        <v>1</v>
      </c>
      <c r="P116" s="104">
        <f>VLOOKUP($B116,ma!$A:$C,3,0)</f>
        <v>800000</v>
      </c>
      <c r="Q116" s="108">
        <v>880000</v>
      </c>
      <c r="R116" s="109">
        <v>0.1</v>
      </c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spans="1:27" ht="16">
      <c r="A117" s="97">
        <f t="shared" si="15"/>
        <v>12</v>
      </c>
      <c r="B117" s="98" t="s">
        <v>1632</v>
      </c>
      <c r="C117" s="99" t="s">
        <v>1554</v>
      </c>
      <c r="D117" s="100">
        <v>46177</v>
      </c>
      <c r="E117" s="99" t="str">
        <f>VLOOKUP($C117,xe!$A:$B,2,0)</f>
        <v>50H-63174</v>
      </c>
      <c r="F117" s="101" t="str">
        <f>VLOOKUP($B117,ma!$A:$B,2,0)</f>
        <v>TẤN TƯỜNG</v>
      </c>
      <c r="G117" s="102" t="s">
        <v>1633</v>
      </c>
      <c r="H117" s="103" t="s">
        <v>1481</v>
      </c>
      <c r="I117" s="104"/>
      <c r="J117" s="127" t="s">
        <v>1634</v>
      </c>
      <c r="K117" s="106">
        <v>1.2</v>
      </c>
      <c r="L117" s="107">
        <f t="shared" si="17"/>
        <v>60000</v>
      </c>
      <c r="M117" s="104"/>
      <c r="N117" s="101"/>
      <c r="O117" s="101">
        <v>1</v>
      </c>
      <c r="P117" s="104">
        <f>VLOOKUP($B117,ma!$A:$C,3,0)</f>
        <v>800000</v>
      </c>
      <c r="Q117" s="108">
        <v>880000</v>
      </c>
      <c r="R117" s="109">
        <v>0.1</v>
      </c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spans="1:27" ht="14">
      <c r="A118" s="97">
        <f t="shared" si="15"/>
        <v>13</v>
      </c>
      <c r="B118" s="98" t="s">
        <v>1635</v>
      </c>
      <c r="C118" s="99" t="s">
        <v>24</v>
      </c>
      <c r="D118" s="100">
        <v>46177</v>
      </c>
      <c r="E118" s="99" t="str">
        <f>VLOOKUP($C118,xe!$A:$B,2,0)</f>
        <v>50H-55161</v>
      </c>
      <c r="F118" s="101" t="str">
        <f>VLOOKUP($B118,ma!$A:$B,2,0)</f>
        <v>JOLIBEE</v>
      </c>
      <c r="G118" s="102" t="s">
        <v>1636</v>
      </c>
      <c r="H118" s="103" t="s">
        <v>1481</v>
      </c>
      <c r="I118" s="104"/>
      <c r="J118" s="99"/>
      <c r="K118" s="106">
        <v>1.6</v>
      </c>
      <c r="L118" s="107">
        <f t="shared" si="17"/>
        <v>80000</v>
      </c>
      <c r="M118" s="104"/>
      <c r="N118" s="101"/>
      <c r="O118" s="101">
        <v>1</v>
      </c>
      <c r="P118" s="104">
        <f>VLOOKUP($B118,ma!$A:$C,3,0)</f>
        <v>900000</v>
      </c>
      <c r="Q118" s="108">
        <v>990000</v>
      </c>
      <c r="R118" s="109">
        <v>0.1</v>
      </c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spans="1:27" ht="14">
      <c r="A119" s="97">
        <f t="shared" si="15"/>
        <v>14</v>
      </c>
      <c r="B119" s="98" t="s">
        <v>1637</v>
      </c>
      <c r="C119" s="99" t="s">
        <v>1549</v>
      </c>
      <c r="D119" s="100">
        <v>46177</v>
      </c>
      <c r="E119" s="99" t="str">
        <f>VLOOKUP($C119,xe!$A:$B,2,0)</f>
        <v>50H-55443</v>
      </c>
      <c r="F119" s="101" t="str">
        <f>VLOOKUP($B119,ma!$A:$B,2,0)</f>
        <v>BHX CẦN ĐƯỚC</v>
      </c>
      <c r="G119" s="102" t="s">
        <v>1638</v>
      </c>
      <c r="H119" s="103" t="s">
        <v>1481</v>
      </c>
      <c r="I119" s="104"/>
      <c r="J119" s="99"/>
      <c r="K119" s="106">
        <v>1</v>
      </c>
      <c r="L119" s="113">
        <v>150000</v>
      </c>
      <c r="M119" s="104"/>
      <c r="N119" s="101"/>
      <c r="O119" s="101">
        <v>1</v>
      </c>
      <c r="P119" s="104">
        <f>VLOOKUP($B119,ma!$A:$C,3,0)</f>
        <v>900000</v>
      </c>
      <c r="Q119" s="108">
        <v>990000</v>
      </c>
      <c r="R119" s="109">
        <v>0.1</v>
      </c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spans="1:27" ht="14">
      <c r="A120" s="97">
        <f t="shared" si="15"/>
        <v>15</v>
      </c>
      <c r="B120" s="98" t="s">
        <v>1639</v>
      </c>
      <c r="C120" s="99" t="s">
        <v>1509</v>
      </c>
      <c r="D120" s="100">
        <v>46177</v>
      </c>
      <c r="E120" s="99" t="str">
        <f>VLOOKUP($C120,xe!$A:$B,2,0)</f>
        <v>50H-70216</v>
      </c>
      <c r="F120" s="101" t="str">
        <f>VLOOKUP($B120,ma!$A:$B,2,0)</f>
        <v>POYUN TÂN UYÊN</v>
      </c>
      <c r="G120" s="102" t="s">
        <v>1640</v>
      </c>
      <c r="H120" s="103" t="s">
        <v>1481</v>
      </c>
      <c r="I120" s="104"/>
      <c r="J120" s="99"/>
      <c r="K120" s="106">
        <v>1.6</v>
      </c>
      <c r="L120" s="107">
        <f t="shared" ref="L120:L122" si="18">K120*50000</f>
        <v>80000</v>
      </c>
      <c r="M120" s="104"/>
      <c r="N120" s="101"/>
      <c r="O120" s="101">
        <v>1</v>
      </c>
      <c r="P120" s="104">
        <f>VLOOKUP($B120,ma!$A:$C,3,0)</f>
        <v>1200000</v>
      </c>
      <c r="Q120" s="108">
        <v>1320000</v>
      </c>
      <c r="R120" s="109">
        <v>0.1</v>
      </c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spans="1:27" ht="14">
      <c r="A121" s="97">
        <f t="shared" si="15"/>
        <v>16</v>
      </c>
      <c r="B121" s="98" t="s">
        <v>1639</v>
      </c>
      <c r="C121" s="99" t="s">
        <v>1576</v>
      </c>
      <c r="D121" s="100">
        <v>46177</v>
      </c>
      <c r="E121" s="99" t="str">
        <f>VLOOKUP($C121,xe!$A:$B,2,0)</f>
        <v>50H-74619</v>
      </c>
      <c r="F121" s="101" t="str">
        <f>VLOOKUP($B121,ma!$A:$B,2,0)</f>
        <v>POYUN TÂN UYÊN</v>
      </c>
      <c r="G121" s="102" t="s">
        <v>1640</v>
      </c>
      <c r="H121" s="103" t="s">
        <v>1481</v>
      </c>
      <c r="I121" s="104"/>
      <c r="J121" s="99"/>
      <c r="K121" s="106">
        <v>1.6</v>
      </c>
      <c r="L121" s="107">
        <f t="shared" si="18"/>
        <v>80000</v>
      </c>
      <c r="M121" s="104"/>
      <c r="N121" s="101"/>
      <c r="O121" s="101">
        <v>1</v>
      </c>
      <c r="P121" s="104">
        <f>VLOOKUP($B121,ma!$A:$C,3,0)</f>
        <v>1200000</v>
      </c>
      <c r="Q121" s="108">
        <v>1320000</v>
      </c>
      <c r="R121" s="109">
        <v>0.1</v>
      </c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spans="1:27" ht="14">
      <c r="A122" s="97">
        <f t="shared" si="15"/>
        <v>17</v>
      </c>
      <c r="B122" s="98" t="s">
        <v>1639</v>
      </c>
      <c r="C122" s="99" t="s">
        <v>8</v>
      </c>
      <c r="D122" s="100">
        <v>46177</v>
      </c>
      <c r="E122" s="99" t="str">
        <f>VLOOKUP($C122,xe!$A:$B,2,0)</f>
        <v>50H-64316</v>
      </c>
      <c r="F122" s="101" t="str">
        <f>VLOOKUP($B122,ma!$A:$B,2,0)</f>
        <v>POYUN TÂN UYÊN</v>
      </c>
      <c r="G122" s="102" t="s">
        <v>1640</v>
      </c>
      <c r="H122" s="103" t="s">
        <v>1481</v>
      </c>
      <c r="I122" s="104"/>
      <c r="J122" s="99"/>
      <c r="K122" s="106">
        <v>1.8</v>
      </c>
      <c r="L122" s="107">
        <f t="shared" si="18"/>
        <v>90000</v>
      </c>
      <c r="M122" s="104"/>
      <c r="N122" s="101"/>
      <c r="O122" s="101">
        <v>1</v>
      </c>
      <c r="P122" s="104">
        <f>VLOOKUP($B122,ma!$A:$C,3,0)</f>
        <v>1200000</v>
      </c>
      <c r="Q122" s="108">
        <v>1320000</v>
      </c>
      <c r="R122" s="109">
        <v>0.1</v>
      </c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spans="1:27" ht="14">
      <c r="A123" s="97">
        <f t="shared" si="15"/>
        <v>18</v>
      </c>
      <c r="B123" s="98" t="s">
        <v>1641</v>
      </c>
      <c r="C123" s="99" t="s">
        <v>24</v>
      </c>
      <c r="D123" s="100">
        <v>46177</v>
      </c>
      <c r="E123" s="99" t="str">
        <f>VLOOKUP($C123,xe!$A:$B,2,0)</f>
        <v>50H-55161</v>
      </c>
      <c r="F123" s="101" t="str">
        <f>VLOOKUP($B123,ma!$A:$B,2,0)</f>
        <v>MEGA VIỆT PHÁT L.HẬU ( K BX )</v>
      </c>
      <c r="G123" s="102" t="s">
        <v>1642</v>
      </c>
      <c r="H123" s="103" t="s">
        <v>1481</v>
      </c>
      <c r="I123" s="104"/>
      <c r="J123" s="99"/>
      <c r="K123" s="106">
        <v>1</v>
      </c>
      <c r="L123" s="107">
        <v>50000</v>
      </c>
      <c r="M123" s="104"/>
      <c r="N123" s="101"/>
      <c r="O123" s="101">
        <v>1</v>
      </c>
      <c r="P123" s="104">
        <f>VLOOKUP($B123,ma!$A:$C,3,0)</f>
        <v>400000</v>
      </c>
      <c r="Q123" s="108">
        <v>440000</v>
      </c>
      <c r="R123" s="109">
        <v>0.1</v>
      </c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spans="1:27" ht="14">
      <c r="A124" s="97">
        <f t="shared" si="15"/>
        <v>19</v>
      </c>
      <c r="B124" s="98" t="s">
        <v>1507</v>
      </c>
      <c r="C124" s="99" t="s">
        <v>1505</v>
      </c>
      <c r="D124" s="100">
        <v>46177</v>
      </c>
      <c r="E124" s="99" t="str">
        <f>VLOOKUP($C124,xe!$A:$B,2,0)</f>
        <v>50H 87442</v>
      </c>
      <c r="F124" s="101" t="str">
        <f>VLOOKUP($B124,ma!$A:$B,2,0)</f>
        <v>BHX NHÀ BÈ</v>
      </c>
      <c r="G124" s="102" t="s">
        <v>1643</v>
      </c>
      <c r="H124" s="103" t="s">
        <v>1481</v>
      </c>
      <c r="I124" s="104"/>
      <c r="J124" s="99"/>
      <c r="K124" s="106">
        <v>1.6</v>
      </c>
      <c r="L124" s="113">
        <v>160000</v>
      </c>
      <c r="M124" s="104"/>
      <c r="N124" s="101"/>
      <c r="O124" s="101">
        <v>1</v>
      </c>
      <c r="P124" s="104">
        <f>VLOOKUP($B124,ma!$A:$C,3,0)</f>
        <v>400000</v>
      </c>
      <c r="Q124" s="108">
        <v>440000</v>
      </c>
      <c r="R124" s="109">
        <v>0.1</v>
      </c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spans="1:27" ht="14">
      <c r="A125" s="97">
        <f t="shared" si="15"/>
        <v>20</v>
      </c>
      <c r="B125" s="98" t="s">
        <v>1507</v>
      </c>
      <c r="C125" s="99" t="s">
        <v>1565</v>
      </c>
      <c r="D125" s="100">
        <v>46177</v>
      </c>
      <c r="E125" s="99" t="str">
        <f>VLOOKUP($C125,xe!$A:$B,2,0)</f>
        <v>50H-55116</v>
      </c>
      <c r="F125" s="101" t="str">
        <f>VLOOKUP($B125,ma!$A:$B,2,0)</f>
        <v>BHX NHÀ BÈ</v>
      </c>
      <c r="G125" s="102" t="s">
        <v>1644</v>
      </c>
      <c r="H125" s="103" t="s">
        <v>1481</v>
      </c>
      <c r="I125" s="104"/>
      <c r="J125" s="99"/>
      <c r="K125" s="106">
        <v>1.6</v>
      </c>
      <c r="L125" s="113">
        <v>160000</v>
      </c>
      <c r="M125" s="104"/>
      <c r="N125" s="101"/>
      <c r="O125" s="101">
        <v>1</v>
      </c>
      <c r="P125" s="104">
        <f>VLOOKUP($B125,ma!$A:$C,3,0)</f>
        <v>400000</v>
      </c>
      <c r="Q125" s="108">
        <v>440000</v>
      </c>
      <c r="R125" s="109">
        <v>0.1</v>
      </c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spans="1:27" ht="14">
      <c r="A126" s="97">
        <f t="shared" si="15"/>
        <v>21</v>
      </c>
      <c r="B126" s="98" t="s">
        <v>1645</v>
      </c>
      <c r="C126" s="99" t="s">
        <v>63</v>
      </c>
      <c r="D126" s="100">
        <v>46177</v>
      </c>
      <c r="E126" s="99" t="e">
        <f>VLOOKUP($C126,xe!$A:$B,2,0)</f>
        <v>#N/A</v>
      </c>
      <c r="F126" s="101" t="str">
        <f>VLOOKUP($B126,ma!$A:$B,2,0)</f>
        <v>AEON RDC Q12</v>
      </c>
      <c r="G126" s="102" t="s">
        <v>1646</v>
      </c>
      <c r="H126" s="103" t="s">
        <v>1518</v>
      </c>
      <c r="I126" s="104"/>
      <c r="J126" s="105" t="s">
        <v>119</v>
      </c>
      <c r="K126" s="106">
        <v>1.6</v>
      </c>
      <c r="L126" s="107">
        <f>K126*50000</f>
        <v>80000</v>
      </c>
      <c r="M126" s="104"/>
      <c r="N126" s="101"/>
      <c r="O126" s="101">
        <v>1</v>
      </c>
      <c r="P126" s="104">
        <f>VLOOKUP($B126,ma!$A:$C,3,0)</f>
        <v>800000</v>
      </c>
      <c r="Q126" s="108">
        <v>880000</v>
      </c>
      <c r="R126" s="109">
        <v>0.1</v>
      </c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spans="1:27" ht="14">
      <c r="A127" s="97">
        <f t="shared" si="15"/>
        <v>22</v>
      </c>
      <c r="B127" s="98" t="s">
        <v>1647</v>
      </c>
      <c r="C127" s="99" t="s">
        <v>28</v>
      </c>
      <c r="D127" s="100">
        <v>46177</v>
      </c>
      <c r="E127" s="99" t="str">
        <f>VLOOKUP($C127,xe!$A:$B,2,0)</f>
        <v>50H-54580</v>
      </c>
      <c r="F127" s="101" t="str">
        <f>VLOOKUP($B127,ma!$A:$B,2,0)</f>
        <v>BHX ( TĐN)</v>
      </c>
      <c r="G127" s="102" t="s">
        <v>1648</v>
      </c>
      <c r="H127" s="103" t="s">
        <v>1518</v>
      </c>
      <c r="I127" s="104"/>
      <c r="J127" s="99"/>
      <c r="K127" s="106">
        <v>2</v>
      </c>
      <c r="L127" s="113">
        <v>190000</v>
      </c>
      <c r="M127" s="104"/>
      <c r="N127" s="101"/>
      <c r="O127" s="101">
        <v>1</v>
      </c>
      <c r="P127" s="104">
        <f>VLOOKUP($B127,ma!$A:$C,3,0)</f>
        <v>800000</v>
      </c>
      <c r="Q127" s="108">
        <v>880000</v>
      </c>
      <c r="R127" s="109">
        <v>0.1</v>
      </c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spans="1:27" ht="14">
      <c r="A128" s="97">
        <f t="shared" si="15"/>
        <v>23</v>
      </c>
      <c r="B128" s="98" t="s">
        <v>1647</v>
      </c>
      <c r="C128" s="99" t="s">
        <v>1503</v>
      </c>
      <c r="D128" s="100">
        <v>46177</v>
      </c>
      <c r="E128" s="99" t="str">
        <f>VLOOKUP($C128,xe!$A:$B,2,0)</f>
        <v>50E-164,61</v>
      </c>
      <c r="F128" s="101" t="str">
        <f>VLOOKUP($B128,ma!$A:$B,2,0)</f>
        <v>BHX ( TĐN)</v>
      </c>
      <c r="G128" s="102" t="s">
        <v>1649</v>
      </c>
      <c r="H128" s="103" t="s">
        <v>1518</v>
      </c>
      <c r="I128" s="104"/>
      <c r="J128" s="99"/>
      <c r="K128" s="106">
        <v>2</v>
      </c>
      <c r="L128" s="113">
        <v>190000</v>
      </c>
      <c r="M128" s="104"/>
      <c r="N128" s="101"/>
      <c r="O128" s="101">
        <v>1</v>
      </c>
      <c r="P128" s="104">
        <f>VLOOKUP($B128,ma!$A:$C,3,0)</f>
        <v>800000</v>
      </c>
      <c r="Q128" s="108">
        <v>880000</v>
      </c>
      <c r="R128" s="109">
        <v>0.1</v>
      </c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spans="1:27" ht="14">
      <c r="A129" s="97">
        <f t="shared" si="15"/>
        <v>24</v>
      </c>
      <c r="B129" s="98" t="s">
        <v>1647</v>
      </c>
      <c r="C129" s="99" t="s">
        <v>1552</v>
      </c>
      <c r="D129" s="100">
        <v>46177</v>
      </c>
      <c r="E129" s="99" t="str">
        <f>VLOOKUP($C129,xe!$A:$B,2,0)</f>
        <v>50H-64470</v>
      </c>
      <c r="F129" s="101" t="str">
        <f>VLOOKUP($B129,ma!$A:$B,2,0)</f>
        <v>BHX ( TĐN)</v>
      </c>
      <c r="G129" s="102" t="s">
        <v>1650</v>
      </c>
      <c r="H129" s="103" t="s">
        <v>1518</v>
      </c>
      <c r="I129" s="104"/>
      <c r="J129" s="99"/>
      <c r="K129" s="106">
        <v>2</v>
      </c>
      <c r="L129" s="113">
        <v>190000</v>
      </c>
      <c r="M129" s="104"/>
      <c r="N129" s="101"/>
      <c r="O129" s="101">
        <v>1</v>
      </c>
      <c r="P129" s="104">
        <f>VLOOKUP($B129,ma!$A:$C,3,0)</f>
        <v>800000</v>
      </c>
      <c r="Q129" s="108">
        <v>880000</v>
      </c>
      <c r="R129" s="109">
        <v>0.1</v>
      </c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spans="1:27" ht="14">
      <c r="A130" s="97">
        <f t="shared" si="15"/>
        <v>25</v>
      </c>
      <c r="B130" s="98" t="s">
        <v>1651</v>
      </c>
      <c r="C130" s="99" t="s">
        <v>62</v>
      </c>
      <c r="D130" s="100">
        <v>46177</v>
      </c>
      <c r="E130" s="114" t="e">
        <f>VLOOKUP($C130,xe!$A:$B,2,0)</f>
        <v>#N/A</v>
      </c>
      <c r="F130" s="101" t="str">
        <f>VLOOKUP($B130,ma!$A:$B,2,0)</f>
        <v>BHX LONG BÌNH</v>
      </c>
      <c r="G130" s="102" t="s">
        <v>1652</v>
      </c>
      <c r="H130" s="103" t="s">
        <v>1518</v>
      </c>
      <c r="I130" s="104"/>
      <c r="J130" s="99"/>
      <c r="K130" s="106">
        <v>1.2</v>
      </c>
      <c r="L130" s="107">
        <f>K130*80000</f>
        <v>96000</v>
      </c>
      <c r="M130" s="104"/>
      <c r="N130" s="101"/>
      <c r="O130" s="101">
        <v>1</v>
      </c>
      <c r="P130" s="104">
        <f>VLOOKUP($B130,ma!$A:$C,3,0)</f>
        <v>900000</v>
      </c>
      <c r="Q130" s="108">
        <v>990000</v>
      </c>
      <c r="R130" s="109">
        <v>0.1</v>
      </c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spans="1:27" ht="14">
      <c r="A131" s="97">
        <f t="shared" si="15"/>
        <v>26</v>
      </c>
      <c r="B131" s="98" t="s">
        <v>1651</v>
      </c>
      <c r="C131" s="99" t="s">
        <v>1565</v>
      </c>
      <c r="D131" s="100">
        <v>46177</v>
      </c>
      <c r="E131" s="99" t="str">
        <f>VLOOKUP($C131,xe!$A:$B,2,0)</f>
        <v>50H-55116</v>
      </c>
      <c r="F131" s="101" t="str">
        <f>VLOOKUP($B131,ma!$A:$B,2,0)</f>
        <v>BHX LONG BÌNH</v>
      </c>
      <c r="G131" s="102" t="s">
        <v>1653</v>
      </c>
      <c r="H131" s="103" t="s">
        <v>1518</v>
      </c>
      <c r="I131" s="104"/>
      <c r="J131" s="99"/>
      <c r="K131" s="106">
        <v>1.2</v>
      </c>
      <c r="L131" s="113">
        <v>160000</v>
      </c>
      <c r="M131" s="104"/>
      <c r="N131" s="101"/>
      <c r="O131" s="101">
        <v>1</v>
      </c>
      <c r="P131" s="104">
        <f>VLOOKUP($B131,ma!$A:$C,3,0)</f>
        <v>900000</v>
      </c>
      <c r="Q131" s="108">
        <v>990000</v>
      </c>
      <c r="R131" s="109">
        <v>0.1</v>
      </c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spans="1:27" ht="14">
      <c r="A132" s="97">
        <f t="shared" si="15"/>
        <v>27</v>
      </c>
      <c r="B132" s="98" t="s">
        <v>1654</v>
      </c>
      <c r="C132" s="99" t="s">
        <v>1572</v>
      </c>
      <c r="D132" s="100">
        <v>46177</v>
      </c>
      <c r="E132" s="99" t="str">
        <f>VLOOKUP($C132,xe!$A:$B,2,0)</f>
        <v>50H-69501</v>
      </c>
      <c r="F132" s="101" t="str">
        <f>VLOOKUP($B132,ma!$A:$B,2,0)</f>
        <v>BHX ( VL)</v>
      </c>
      <c r="G132" s="102" t="s">
        <v>1655</v>
      </c>
      <c r="H132" s="103" t="s">
        <v>1518</v>
      </c>
      <c r="I132" s="104"/>
      <c r="J132" s="99"/>
      <c r="K132" s="106">
        <v>1.2</v>
      </c>
      <c r="L132" s="113">
        <v>160000</v>
      </c>
      <c r="M132" s="104"/>
      <c r="N132" s="101"/>
      <c r="O132" s="101">
        <v>1</v>
      </c>
      <c r="P132" s="104">
        <f>VLOOKUP($B132,ma!$A:$C,3,0)</f>
        <v>800000</v>
      </c>
      <c r="Q132" s="108">
        <v>880000</v>
      </c>
      <c r="R132" s="109">
        <v>0.1</v>
      </c>
      <c r="S132" s="111"/>
      <c r="T132" s="111"/>
      <c r="U132" s="111"/>
      <c r="V132" s="111"/>
      <c r="W132" s="111"/>
      <c r="X132" s="111"/>
      <c r="Y132" s="111"/>
      <c r="Z132" s="111"/>
      <c r="AA132" s="111"/>
    </row>
    <row r="133" spans="1:27" ht="14">
      <c r="A133" s="97">
        <f t="shared" si="15"/>
        <v>28</v>
      </c>
      <c r="B133" s="98" t="s">
        <v>1654</v>
      </c>
      <c r="C133" s="99" t="s">
        <v>30</v>
      </c>
      <c r="D133" s="100">
        <v>46177</v>
      </c>
      <c r="E133" s="99" t="str">
        <f>VLOOKUP($C133,xe!$A:$B,2,0)</f>
        <v>50H-63174</v>
      </c>
      <c r="F133" s="101" t="str">
        <f>VLOOKUP($B133,ma!$A:$B,2,0)</f>
        <v>BHX ( VL)</v>
      </c>
      <c r="G133" s="102" t="s">
        <v>1656</v>
      </c>
      <c r="H133" s="103" t="s">
        <v>1518</v>
      </c>
      <c r="I133" s="104"/>
      <c r="J133" s="99"/>
      <c r="K133" s="106">
        <v>1.2</v>
      </c>
      <c r="L133" s="113">
        <v>160000</v>
      </c>
      <c r="M133" s="104"/>
      <c r="N133" s="101"/>
      <c r="O133" s="101">
        <v>1</v>
      </c>
      <c r="P133" s="104">
        <f>VLOOKUP($B133,ma!$A:$C,3,0)</f>
        <v>800000</v>
      </c>
      <c r="Q133" s="108">
        <v>880000</v>
      </c>
      <c r="R133" s="109">
        <v>0.1</v>
      </c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spans="1:27" ht="14">
      <c r="A134" s="97">
        <f t="shared" si="15"/>
        <v>29</v>
      </c>
      <c r="B134" s="98" t="s">
        <v>1173</v>
      </c>
      <c r="C134" s="99" t="s">
        <v>60</v>
      </c>
      <c r="D134" s="100">
        <v>46177</v>
      </c>
      <c r="E134" s="99" t="e">
        <f>VLOOKUP($C134,xe!$A:$B,2,0)</f>
        <v>#N/A</v>
      </c>
      <c r="F134" s="101" t="str">
        <f>VLOOKUP($B134,ma!$A:$B,2,0)</f>
        <v>LOTTE THỦ DẦU MỘT</v>
      </c>
      <c r="G134" s="102" t="s">
        <v>1657</v>
      </c>
      <c r="H134" s="103" t="s">
        <v>1518</v>
      </c>
      <c r="I134" s="104"/>
      <c r="J134" s="99"/>
      <c r="K134" s="106">
        <v>1</v>
      </c>
      <c r="L134" s="107">
        <f t="shared" ref="L134:L157" si="19">K134*50000</f>
        <v>50000</v>
      </c>
      <c r="M134" s="104"/>
      <c r="N134" s="101"/>
      <c r="O134" s="101">
        <v>1</v>
      </c>
      <c r="P134" s="104">
        <f>VLOOKUP($B134,ma!$A:$C,3,0)</f>
        <v>900000</v>
      </c>
      <c r="Q134" s="108">
        <v>880000</v>
      </c>
      <c r="R134" s="109">
        <v>0.1</v>
      </c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spans="1:27" ht="14">
      <c r="A135" s="97">
        <f t="shared" si="15"/>
        <v>30</v>
      </c>
      <c r="B135" s="98" t="s">
        <v>1578</v>
      </c>
      <c r="C135" s="99" t="s">
        <v>10</v>
      </c>
      <c r="D135" s="100">
        <v>46177</v>
      </c>
      <c r="E135" s="99" t="str">
        <f>VLOOKUP($C135,xe!$A:$B,2,0)</f>
        <v>50H-50999</v>
      </c>
      <c r="F135" s="101" t="str">
        <f>VLOOKUP($B135,ma!$A:$B,2,0)</f>
        <v>CALOFIC - UNI ( xe nhỏ )</v>
      </c>
      <c r="G135" s="102" t="s">
        <v>1658</v>
      </c>
      <c r="H135" s="103" t="s">
        <v>1481</v>
      </c>
      <c r="I135" s="104"/>
      <c r="J135" s="99"/>
      <c r="K135" s="106">
        <v>2</v>
      </c>
      <c r="L135" s="107">
        <f t="shared" si="19"/>
        <v>100000</v>
      </c>
      <c r="M135" s="104"/>
      <c r="N135" s="101"/>
      <c r="O135" s="101">
        <v>1</v>
      </c>
      <c r="P135" s="104">
        <f>VLOOKUP($B135,ma!$A:$C,3,0)</f>
        <v>300000</v>
      </c>
      <c r="Q135" s="108">
        <v>330000</v>
      </c>
      <c r="R135" s="109">
        <v>0.1</v>
      </c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spans="1:27" ht="14">
      <c r="A136" s="97">
        <f t="shared" si="15"/>
        <v>31</v>
      </c>
      <c r="B136" s="98" t="s">
        <v>1659</v>
      </c>
      <c r="C136" s="99" t="s">
        <v>1505</v>
      </c>
      <c r="D136" s="100">
        <v>46177</v>
      </c>
      <c r="E136" s="99" t="str">
        <f>VLOOKUP($C136,xe!$A:$B,2,0)</f>
        <v>50H 87442</v>
      </c>
      <c r="F136" s="101" t="str">
        <f>VLOOKUP($B136,ma!$A:$B,2,0)</f>
        <v>METRO KHO 50</v>
      </c>
      <c r="G136" s="102" t="s">
        <v>1660</v>
      </c>
      <c r="H136" s="103" t="s">
        <v>1518</v>
      </c>
      <c r="I136" s="104"/>
      <c r="J136" s="99"/>
      <c r="K136" s="106">
        <v>2</v>
      </c>
      <c r="L136" s="107">
        <f t="shared" si="19"/>
        <v>100000</v>
      </c>
      <c r="M136" s="104"/>
      <c r="N136" s="101"/>
      <c r="O136" s="101">
        <v>1</v>
      </c>
      <c r="P136" s="104">
        <f>VLOOKUP($B136,ma!$A:$C,3,0)</f>
        <v>800000</v>
      </c>
      <c r="Q136" s="108">
        <v>880000</v>
      </c>
      <c r="R136" s="109">
        <v>0.1</v>
      </c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spans="1:27" ht="16">
      <c r="A137" s="97">
        <f t="shared" si="15"/>
        <v>32</v>
      </c>
      <c r="B137" s="98" t="s">
        <v>1659</v>
      </c>
      <c r="C137" s="99" t="s">
        <v>24</v>
      </c>
      <c r="D137" s="100">
        <v>46177</v>
      </c>
      <c r="E137" s="99" t="str">
        <f>VLOOKUP($C137,xe!$A:$B,2,0)</f>
        <v>50H-55161</v>
      </c>
      <c r="F137" s="101" t="str">
        <f>VLOOKUP($B137,ma!$A:$B,2,0)</f>
        <v>METRO KHO 50</v>
      </c>
      <c r="G137" s="102" t="s">
        <v>1661</v>
      </c>
      <c r="H137" s="103" t="s">
        <v>1518</v>
      </c>
      <c r="I137" s="104"/>
      <c r="J137" s="128" t="s">
        <v>1662</v>
      </c>
      <c r="K137" s="106">
        <v>2</v>
      </c>
      <c r="L137" s="107">
        <f t="shared" si="19"/>
        <v>100000</v>
      </c>
      <c r="M137" s="104"/>
      <c r="N137" s="101"/>
      <c r="O137" s="101">
        <v>1</v>
      </c>
      <c r="P137" s="104">
        <f>VLOOKUP($B137,ma!$A:$C,3,0)</f>
        <v>800000</v>
      </c>
      <c r="Q137" s="108">
        <v>880000</v>
      </c>
      <c r="R137" s="109">
        <v>0.1</v>
      </c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spans="1:27" ht="14">
      <c r="A138" s="116">
        <v>1</v>
      </c>
      <c r="B138" s="117" t="s">
        <v>1457</v>
      </c>
      <c r="C138" s="118" t="s">
        <v>55</v>
      </c>
      <c r="D138" s="119">
        <v>46178</v>
      </c>
      <c r="E138" s="118" t="e">
        <f>VLOOKUP($C138,xe!$A:$B,2,0)</f>
        <v>#N/A</v>
      </c>
      <c r="F138" s="120" t="str">
        <f>VLOOKUP($B138,ma!$A:$B,2,0)</f>
        <v>E MART P.V.TRỊ</v>
      </c>
      <c r="G138" s="121" t="s">
        <v>1663</v>
      </c>
      <c r="H138" s="122" t="s">
        <v>1518</v>
      </c>
      <c r="I138" s="123"/>
      <c r="J138" s="105" t="s">
        <v>119</v>
      </c>
      <c r="K138" s="124">
        <v>1.2</v>
      </c>
      <c r="L138" s="125">
        <f t="shared" si="19"/>
        <v>60000</v>
      </c>
      <c r="M138" s="123"/>
      <c r="N138" s="120"/>
      <c r="O138" s="120">
        <v>1</v>
      </c>
      <c r="P138" s="123">
        <f>VLOOKUP($B138,ma!$A:$C,3,0)</f>
        <v>800000</v>
      </c>
      <c r="Q138" s="108">
        <v>880000</v>
      </c>
      <c r="R138" s="109">
        <v>0.1</v>
      </c>
      <c r="S138" s="111"/>
      <c r="T138" s="111"/>
      <c r="U138" s="111"/>
      <c r="V138" s="111"/>
      <c r="W138" s="111"/>
      <c r="X138" s="111"/>
      <c r="Y138" s="111"/>
      <c r="Z138" s="111"/>
      <c r="AA138" s="111"/>
    </row>
    <row r="139" spans="1:27" ht="14">
      <c r="A139" s="97">
        <f t="shared" ref="A139:A169" si="20">A138+1</f>
        <v>2</v>
      </c>
      <c r="B139" s="98" t="s">
        <v>1612</v>
      </c>
      <c r="C139" s="99" t="s">
        <v>1509</v>
      </c>
      <c r="D139" s="100">
        <v>46178</v>
      </c>
      <c r="E139" s="99" t="str">
        <f>VLOOKUP($C139,xe!$A:$B,2,0)</f>
        <v>50H-70216</v>
      </c>
      <c r="F139" s="101" t="str">
        <f>VLOOKUP($B139,ma!$A:$B,2,0)</f>
        <v>E MART SALA</v>
      </c>
      <c r="G139" s="102" t="s">
        <v>1664</v>
      </c>
      <c r="H139" s="103" t="s">
        <v>1518</v>
      </c>
      <c r="I139" s="104"/>
      <c r="J139" s="105" t="s">
        <v>119</v>
      </c>
      <c r="K139" s="106">
        <v>1.4</v>
      </c>
      <c r="L139" s="107">
        <f t="shared" si="19"/>
        <v>70000</v>
      </c>
      <c r="M139" s="104"/>
      <c r="N139" s="101"/>
      <c r="O139" s="101">
        <v>1</v>
      </c>
      <c r="P139" s="104">
        <f>VLOOKUP($B139,ma!$A:$C,3,0)</f>
        <v>800000</v>
      </c>
      <c r="Q139" s="108">
        <v>880000</v>
      </c>
      <c r="R139" s="109">
        <v>0.1</v>
      </c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spans="1:27" ht="14">
      <c r="A140" s="97">
        <f t="shared" si="20"/>
        <v>3</v>
      </c>
      <c r="B140" s="98" t="s">
        <v>1612</v>
      </c>
      <c r="C140" s="99" t="s">
        <v>1576</v>
      </c>
      <c r="D140" s="100">
        <v>46178</v>
      </c>
      <c r="E140" s="99" t="str">
        <f>VLOOKUP($C140,xe!$A:$B,2,0)</f>
        <v>50H-74619</v>
      </c>
      <c r="F140" s="101" t="str">
        <f>VLOOKUP($B140,ma!$A:$B,2,0)</f>
        <v>E MART SALA</v>
      </c>
      <c r="G140" s="102" t="s">
        <v>1665</v>
      </c>
      <c r="H140" s="103" t="s">
        <v>1518</v>
      </c>
      <c r="I140" s="104"/>
      <c r="J140" s="105" t="s">
        <v>119</v>
      </c>
      <c r="K140" s="106">
        <v>1.4</v>
      </c>
      <c r="L140" s="107">
        <f t="shared" si="19"/>
        <v>70000</v>
      </c>
      <c r="M140" s="104"/>
      <c r="N140" s="101"/>
      <c r="O140" s="101">
        <v>1</v>
      </c>
      <c r="P140" s="104">
        <f>VLOOKUP($B140,ma!$A:$C,3,0)</f>
        <v>800000</v>
      </c>
      <c r="Q140" s="108">
        <v>880000</v>
      </c>
      <c r="R140" s="109">
        <v>0.1</v>
      </c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spans="1:27" ht="14">
      <c r="A141" s="97">
        <f t="shared" si="20"/>
        <v>4</v>
      </c>
      <c r="B141" s="98" t="s">
        <v>1666</v>
      </c>
      <c r="C141" s="99" t="s">
        <v>1584</v>
      </c>
      <c r="D141" s="100">
        <v>46178</v>
      </c>
      <c r="E141" s="99" t="e">
        <f>VLOOKUP($C141,xe!$A:$B,2,0)</f>
        <v>#N/A</v>
      </c>
      <c r="F141" s="101" t="str">
        <f>VLOOKUP($B141,ma!$A:$B,2,0)</f>
        <v>EMART P.H.ÍCH</v>
      </c>
      <c r="G141" s="102" t="s">
        <v>1667</v>
      </c>
      <c r="H141" s="103" t="s">
        <v>1518</v>
      </c>
      <c r="I141" s="104"/>
      <c r="J141" s="105" t="s">
        <v>119</v>
      </c>
      <c r="K141" s="106">
        <v>1.4</v>
      </c>
      <c r="L141" s="107">
        <f t="shared" si="19"/>
        <v>70000</v>
      </c>
      <c r="M141" s="104"/>
      <c r="N141" s="101"/>
      <c r="O141" s="101">
        <v>1</v>
      </c>
      <c r="P141" s="104">
        <f>VLOOKUP($B141,ma!$A:$C,3,0)</f>
        <v>800000</v>
      </c>
      <c r="Q141" s="108">
        <v>880000</v>
      </c>
      <c r="R141" s="109">
        <v>0.1</v>
      </c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spans="1:27" ht="14">
      <c r="A142" s="97">
        <f t="shared" si="20"/>
        <v>5</v>
      </c>
      <c r="B142" s="98" t="s">
        <v>1666</v>
      </c>
      <c r="C142" s="99" t="s">
        <v>1668</v>
      </c>
      <c r="D142" s="100">
        <v>46178</v>
      </c>
      <c r="E142" s="99" t="e">
        <f>VLOOKUP($C142,xe!$A:$B,2,0)</f>
        <v>#N/A</v>
      </c>
      <c r="F142" s="101" t="str">
        <f>VLOOKUP($B142,ma!$A:$B,2,0)</f>
        <v>EMART P.H.ÍCH</v>
      </c>
      <c r="G142" s="102" t="s">
        <v>1669</v>
      </c>
      <c r="H142" s="103" t="s">
        <v>1518</v>
      </c>
      <c r="I142" s="104"/>
      <c r="J142" s="105" t="s">
        <v>119</v>
      </c>
      <c r="K142" s="106">
        <v>1.4</v>
      </c>
      <c r="L142" s="107">
        <f t="shared" si="19"/>
        <v>70000</v>
      </c>
      <c r="M142" s="104"/>
      <c r="N142" s="101"/>
      <c r="O142" s="101">
        <v>1</v>
      </c>
      <c r="P142" s="104">
        <f>VLOOKUP($B142,ma!$A:$C,3,0)</f>
        <v>800000</v>
      </c>
      <c r="Q142" s="108">
        <v>880000</v>
      </c>
      <c r="R142" s="109">
        <v>0.1</v>
      </c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spans="1:27" ht="14">
      <c r="A143" s="97">
        <f t="shared" si="20"/>
        <v>6</v>
      </c>
      <c r="B143" s="98" t="s">
        <v>1182</v>
      </c>
      <c r="C143" s="99" t="s">
        <v>1582</v>
      </c>
      <c r="D143" s="100">
        <v>46178</v>
      </c>
      <c r="E143" s="99" t="e">
        <f>VLOOKUP($C143,xe!$A:$B,2,0)</f>
        <v>#N/A</v>
      </c>
      <c r="F143" s="101" t="str">
        <f>VLOOKUP($B143,ma!$A:$B,2,0)</f>
        <v>SATRA VIETTEL</v>
      </c>
      <c r="G143" s="102" t="s">
        <v>1670</v>
      </c>
      <c r="H143" s="103" t="s">
        <v>1518</v>
      </c>
      <c r="I143" s="104"/>
      <c r="J143" s="126" t="s">
        <v>1520</v>
      </c>
      <c r="K143" s="106">
        <v>1.6</v>
      </c>
      <c r="L143" s="107">
        <f t="shared" si="19"/>
        <v>80000</v>
      </c>
      <c r="M143" s="104"/>
      <c r="N143" s="101"/>
      <c r="O143" s="101">
        <v>1</v>
      </c>
      <c r="P143" s="104">
        <f>VLOOKUP($B143,ma!$A:$C,3,0)</f>
        <v>800000</v>
      </c>
      <c r="Q143" s="108">
        <v>880000</v>
      </c>
      <c r="R143" s="109">
        <v>0.1</v>
      </c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spans="1:27" ht="14">
      <c r="A144" s="97">
        <f t="shared" si="20"/>
        <v>7</v>
      </c>
      <c r="B144" s="98" t="s">
        <v>1182</v>
      </c>
      <c r="C144" s="99" t="s">
        <v>56</v>
      </c>
      <c r="D144" s="100">
        <v>46178</v>
      </c>
      <c r="E144" s="99" t="e">
        <f>VLOOKUP($C144,xe!$A:$B,2,0)</f>
        <v>#N/A</v>
      </c>
      <c r="F144" s="101" t="str">
        <f>VLOOKUP($B144,ma!$A:$B,2,0)</f>
        <v>SATRA VIETTEL</v>
      </c>
      <c r="G144" s="102" t="s">
        <v>1671</v>
      </c>
      <c r="H144" s="103" t="s">
        <v>1518</v>
      </c>
      <c r="I144" s="104"/>
      <c r="J144" s="126" t="s">
        <v>1520</v>
      </c>
      <c r="K144" s="106">
        <v>1.6</v>
      </c>
      <c r="L144" s="107">
        <f t="shared" si="19"/>
        <v>80000</v>
      </c>
      <c r="M144" s="104"/>
      <c r="N144" s="101"/>
      <c r="O144" s="101">
        <v>1</v>
      </c>
      <c r="P144" s="104">
        <f>VLOOKUP($B144,ma!$A:$C,3,0)</f>
        <v>800000</v>
      </c>
      <c r="Q144" s="108">
        <v>880000</v>
      </c>
      <c r="R144" s="109">
        <v>0.1</v>
      </c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spans="1:27" ht="14">
      <c r="A145" s="97">
        <f t="shared" si="20"/>
        <v>8</v>
      </c>
      <c r="B145" s="98" t="s">
        <v>1659</v>
      </c>
      <c r="C145" s="99" t="s">
        <v>1561</v>
      </c>
      <c r="D145" s="100">
        <v>46178</v>
      </c>
      <c r="E145" s="99" t="e">
        <f>VLOOKUP($C145,xe!$A:$B,2,0)</f>
        <v>#N/A</v>
      </c>
      <c r="F145" s="101" t="str">
        <f>VLOOKUP($B145,ma!$A:$B,2,0)</f>
        <v>METRO KHO 50</v>
      </c>
      <c r="G145" s="102" t="s">
        <v>1672</v>
      </c>
      <c r="H145" s="103" t="s">
        <v>1518</v>
      </c>
      <c r="I145" s="104"/>
      <c r="J145" s="99"/>
      <c r="K145" s="106">
        <v>2</v>
      </c>
      <c r="L145" s="107">
        <f t="shared" si="19"/>
        <v>100000</v>
      </c>
      <c r="M145" s="104"/>
      <c r="N145" s="101"/>
      <c r="O145" s="101">
        <v>1</v>
      </c>
      <c r="P145" s="104">
        <f>VLOOKUP($B145,ma!$A:$C,3,0)</f>
        <v>800000</v>
      </c>
      <c r="Q145" s="108">
        <v>880000</v>
      </c>
      <c r="R145" s="109">
        <v>0.1</v>
      </c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spans="1:27" ht="14">
      <c r="A146" s="97">
        <f t="shared" si="20"/>
        <v>9</v>
      </c>
      <c r="B146" s="98" t="s">
        <v>1659</v>
      </c>
      <c r="C146" s="99" t="s">
        <v>54</v>
      </c>
      <c r="D146" s="100">
        <v>46178</v>
      </c>
      <c r="E146" s="99" t="e">
        <f>VLOOKUP($C146,xe!$A:$B,2,0)</f>
        <v>#N/A</v>
      </c>
      <c r="F146" s="101" t="str">
        <f>VLOOKUP($B146,ma!$A:$B,2,0)</f>
        <v>METRO KHO 50</v>
      </c>
      <c r="G146" s="102" t="s">
        <v>1673</v>
      </c>
      <c r="H146" s="103" t="s">
        <v>1518</v>
      </c>
      <c r="I146" s="104"/>
      <c r="J146" s="99"/>
      <c r="K146" s="106">
        <v>2</v>
      </c>
      <c r="L146" s="107">
        <f t="shared" si="19"/>
        <v>100000</v>
      </c>
      <c r="M146" s="104"/>
      <c r="N146" s="101"/>
      <c r="O146" s="101">
        <v>1</v>
      </c>
      <c r="P146" s="104">
        <f>VLOOKUP($B146,ma!$A:$C,3,0)</f>
        <v>800000</v>
      </c>
      <c r="Q146" s="108">
        <v>880000</v>
      </c>
      <c r="R146" s="109">
        <v>0.1</v>
      </c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spans="1:27" ht="14">
      <c r="A147" s="97">
        <f t="shared" si="20"/>
        <v>10</v>
      </c>
      <c r="B147" s="98" t="s">
        <v>1659</v>
      </c>
      <c r="C147" s="99" t="s">
        <v>64</v>
      </c>
      <c r="D147" s="100">
        <v>46178</v>
      </c>
      <c r="E147" s="99" t="e">
        <f>VLOOKUP($C147,xe!$A:$B,2,0)</f>
        <v>#N/A</v>
      </c>
      <c r="F147" s="101" t="str">
        <f>VLOOKUP($B147,ma!$A:$B,2,0)</f>
        <v>METRO KHO 50</v>
      </c>
      <c r="G147" s="102" t="s">
        <v>1674</v>
      </c>
      <c r="H147" s="103" t="s">
        <v>1518</v>
      </c>
      <c r="I147" s="104"/>
      <c r="J147" s="99"/>
      <c r="K147" s="106">
        <v>2</v>
      </c>
      <c r="L147" s="107">
        <f t="shared" si="19"/>
        <v>100000</v>
      </c>
      <c r="M147" s="104"/>
      <c r="N147" s="101"/>
      <c r="O147" s="101">
        <v>1</v>
      </c>
      <c r="P147" s="104">
        <f>VLOOKUP($B147,ma!$A:$C,3,0)</f>
        <v>800000</v>
      </c>
      <c r="Q147" s="108">
        <v>880000</v>
      </c>
      <c r="R147" s="109">
        <v>0.1</v>
      </c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spans="1:27" ht="14">
      <c r="A148" s="97">
        <f t="shared" si="20"/>
        <v>11</v>
      </c>
      <c r="B148" s="98" t="s">
        <v>1659</v>
      </c>
      <c r="C148" s="99" t="s">
        <v>14</v>
      </c>
      <c r="D148" s="100">
        <v>46178</v>
      </c>
      <c r="E148" s="99" t="str">
        <f>VLOOKUP($C148,xe!$A:$B,2,0)</f>
        <v>51H -88294</v>
      </c>
      <c r="F148" s="101" t="str">
        <f>VLOOKUP($B148,ma!$A:$B,2,0)</f>
        <v>METRO KHO 50</v>
      </c>
      <c r="G148" s="102" t="s">
        <v>1675</v>
      </c>
      <c r="H148" s="103" t="s">
        <v>1518</v>
      </c>
      <c r="I148" s="104"/>
      <c r="J148" s="99"/>
      <c r="K148" s="106">
        <v>2</v>
      </c>
      <c r="L148" s="107">
        <f t="shared" si="19"/>
        <v>100000</v>
      </c>
      <c r="M148" s="104"/>
      <c r="N148" s="101"/>
      <c r="O148" s="101">
        <v>1</v>
      </c>
      <c r="P148" s="104">
        <f>VLOOKUP($B148,ma!$A:$C,3,0)</f>
        <v>800000</v>
      </c>
      <c r="Q148" s="108">
        <v>880000</v>
      </c>
      <c r="R148" s="109">
        <v>0.1</v>
      </c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spans="1:27" ht="14">
      <c r="A149" s="97">
        <f t="shared" si="20"/>
        <v>12</v>
      </c>
      <c r="B149" s="98" t="s">
        <v>1492</v>
      </c>
      <c r="C149" s="99" t="s">
        <v>26</v>
      </c>
      <c r="D149" s="100">
        <v>46178</v>
      </c>
      <c r="E149" s="99" t="str">
        <f>VLOOKUP($C149,xe!$A:$B,2,0)</f>
        <v>50H-55443</v>
      </c>
      <c r="F149" s="101" t="str">
        <f>VLOOKUP($B149,ma!$A:$B,2,0)</f>
        <v>NGUYỄN TRƯƠNG</v>
      </c>
      <c r="G149" s="102" t="s">
        <v>1676</v>
      </c>
      <c r="H149" s="103" t="s">
        <v>1518</v>
      </c>
      <c r="I149" s="104"/>
      <c r="J149" s="99"/>
      <c r="K149" s="106">
        <v>1.6</v>
      </c>
      <c r="L149" s="107">
        <f t="shared" si="19"/>
        <v>80000</v>
      </c>
      <c r="M149" s="104"/>
      <c r="N149" s="101"/>
      <c r="O149" s="101">
        <v>1</v>
      </c>
      <c r="P149" s="104">
        <f>VLOOKUP($B149,ma!$A:$C,3,0)</f>
        <v>800000</v>
      </c>
      <c r="Q149" s="108">
        <v>880000</v>
      </c>
      <c r="R149" s="109">
        <v>0.1</v>
      </c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spans="1:27" ht="14">
      <c r="A150" s="97">
        <f t="shared" si="20"/>
        <v>13</v>
      </c>
      <c r="B150" s="98" t="s">
        <v>1677</v>
      </c>
      <c r="C150" s="99" t="s">
        <v>8</v>
      </c>
      <c r="D150" s="100">
        <v>46178</v>
      </c>
      <c r="E150" s="99" t="str">
        <f>VLOOKUP($C150,xe!$A:$B,2,0)</f>
        <v>50H-64316</v>
      </c>
      <c r="F150" s="101" t="str">
        <f>VLOOKUP($B150,ma!$A:$B,2,0)</f>
        <v>THỌ PHÁT</v>
      </c>
      <c r="G150" s="102" t="s">
        <v>1678</v>
      </c>
      <c r="H150" s="103" t="s">
        <v>1518</v>
      </c>
      <c r="I150" s="104"/>
      <c r="J150" s="99"/>
      <c r="K150" s="106">
        <v>2</v>
      </c>
      <c r="L150" s="107">
        <f t="shared" si="19"/>
        <v>100000</v>
      </c>
      <c r="M150" s="104"/>
      <c r="N150" s="101"/>
      <c r="O150" s="101">
        <v>1</v>
      </c>
      <c r="P150" s="104">
        <f>VLOOKUP($B150,ma!$A:$C,3,0)</f>
        <v>500000</v>
      </c>
      <c r="Q150" s="108">
        <v>550000</v>
      </c>
      <c r="R150" s="109">
        <v>0.1</v>
      </c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spans="1:27" ht="14">
      <c r="A151" s="97">
        <f t="shared" si="20"/>
        <v>14</v>
      </c>
      <c r="B151" s="98" t="s">
        <v>1679</v>
      </c>
      <c r="C151" s="99" t="s">
        <v>1680</v>
      </c>
      <c r="D151" s="100">
        <v>46178</v>
      </c>
      <c r="E151" s="99" t="str">
        <f>VLOOKUP($C151,xe!$A:$B,2,0)</f>
        <v>50H-69501</v>
      </c>
      <c r="F151" s="101" t="str">
        <f>VLOOKUP($B151,ma!$A:$B,2,0)</f>
        <v>LÊ GIA THỦ ĐỨC</v>
      </c>
      <c r="G151" s="102" t="s">
        <v>1681</v>
      </c>
      <c r="H151" s="103" t="s">
        <v>1518</v>
      </c>
      <c r="I151" s="104"/>
      <c r="J151" s="99"/>
      <c r="K151" s="106">
        <v>2</v>
      </c>
      <c r="L151" s="107">
        <f t="shared" si="19"/>
        <v>100000</v>
      </c>
      <c r="M151" s="104"/>
      <c r="N151" s="101"/>
      <c r="O151" s="101">
        <v>1</v>
      </c>
      <c r="P151" s="104">
        <f>VLOOKUP($B151,ma!$A:$C,3,0)</f>
        <v>800000</v>
      </c>
      <c r="Q151" s="108">
        <v>880000</v>
      </c>
      <c r="R151" s="109">
        <v>0.1</v>
      </c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spans="1:27" ht="14">
      <c r="A152" s="97">
        <f t="shared" si="20"/>
        <v>15</v>
      </c>
      <c r="B152" s="98" t="s">
        <v>603</v>
      </c>
      <c r="C152" s="99" t="s">
        <v>1505</v>
      </c>
      <c r="D152" s="100">
        <v>46178</v>
      </c>
      <c r="E152" s="99" t="str">
        <f>VLOOKUP($C152,xe!$A:$B,2,0)</f>
        <v>50H 87442</v>
      </c>
      <c r="F152" s="101" t="str">
        <f>VLOOKUP($B152,ma!$A:$B,2,0)</f>
        <v>Khang Phát</v>
      </c>
      <c r="G152" s="102" t="s">
        <v>1682</v>
      </c>
      <c r="H152" s="103" t="s">
        <v>1518</v>
      </c>
      <c r="I152" s="104"/>
      <c r="J152" s="99"/>
      <c r="K152" s="106">
        <v>1.2</v>
      </c>
      <c r="L152" s="107">
        <f t="shared" si="19"/>
        <v>60000</v>
      </c>
      <c r="M152" s="104">
        <v>80000</v>
      </c>
      <c r="N152" s="101" t="s">
        <v>1683</v>
      </c>
      <c r="O152" s="101">
        <v>1</v>
      </c>
      <c r="P152" s="104">
        <f>VLOOKUP($B152,ma!$A:$C,3,0)</f>
        <v>800000</v>
      </c>
      <c r="Q152" s="108">
        <v>880000</v>
      </c>
      <c r="R152" s="109">
        <v>0.1</v>
      </c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 spans="1:27" ht="14">
      <c r="A153" s="97">
        <f t="shared" si="20"/>
        <v>16</v>
      </c>
      <c r="B153" s="98" t="s">
        <v>1684</v>
      </c>
      <c r="C153" s="99" t="s">
        <v>30</v>
      </c>
      <c r="D153" s="100">
        <v>46178</v>
      </c>
      <c r="E153" s="99" t="str">
        <f>VLOOKUP($C153,xe!$A:$B,2,0)</f>
        <v>50H-63174</v>
      </c>
      <c r="F153" s="101" t="str">
        <f>VLOOKUP($B153,ma!$A:$B,2,0)</f>
        <v>VẠN VẠN LỢI</v>
      </c>
      <c r="G153" s="102" t="s">
        <v>1685</v>
      </c>
      <c r="H153" s="103" t="s">
        <v>1518</v>
      </c>
      <c r="I153" s="104"/>
      <c r="J153" s="99"/>
      <c r="K153" s="106">
        <v>1</v>
      </c>
      <c r="L153" s="107">
        <f t="shared" si="19"/>
        <v>50000</v>
      </c>
      <c r="M153" s="104"/>
      <c r="N153" s="101"/>
      <c r="O153" s="101">
        <v>1</v>
      </c>
      <c r="P153" s="104">
        <f>VLOOKUP($B153,ma!$A:$C,3,0)</f>
        <v>800000</v>
      </c>
      <c r="Q153" s="108">
        <v>880000</v>
      </c>
      <c r="R153" s="109">
        <v>0.1</v>
      </c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spans="1:27" ht="14">
      <c r="A154" s="97">
        <f t="shared" si="20"/>
        <v>17</v>
      </c>
      <c r="B154" s="98" t="s">
        <v>519</v>
      </c>
      <c r="C154" s="99" t="s">
        <v>1565</v>
      </c>
      <c r="D154" s="100">
        <v>46178</v>
      </c>
      <c r="E154" s="99" t="str">
        <f>VLOOKUP($C154,xe!$A:$B,2,0)</f>
        <v>50H-55116</v>
      </c>
      <c r="F154" s="101" t="str">
        <f>VLOOKUP($B154,ma!$A:$B,2,0)</f>
        <v>PHƯƠNG ĐÔNG</v>
      </c>
      <c r="G154" s="102" t="s">
        <v>1686</v>
      </c>
      <c r="H154" s="103" t="s">
        <v>1518</v>
      </c>
      <c r="I154" s="104"/>
      <c r="J154" s="99"/>
      <c r="K154" s="106">
        <v>1.4</v>
      </c>
      <c r="L154" s="107">
        <f t="shared" si="19"/>
        <v>70000</v>
      </c>
      <c r="M154" s="104"/>
      <c r="N154" s="101"/>
      <c r="O154" s="101">
        <v>1</v>
      </c>
      <c r="P154" s="104">
        <f>VLOOKUP($B154,ma!$A:$C,3,0)</f>
        <v>800000</v>
      </c>
      <c r="Q154" s="108">
        <v>880000</v>
      </c>
      <c r="R154" s="109">
        <v>0.1</v>
      </c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spans="1:27" ht="14">
      <c r="A155" s="97">
        <f t="shared" si="20"/>
        <v>18</v>
      </c>
      <c r="B155" s="98" t="s">
        <v>1687</v>
      </c>
      <c r="C155" s="99" t="s">
        <v>1549</v>
      </c>
      <c r="D155" s="100">
        <v>46178</v>
      </c>
      <c r="E155" s="99" t="str">
        <f>VLOOKUP($C155,xe!$A:$B,2,0)</f>
        <v>50H-55443</v>
      </c>
      <c r="F155" s="101" t="str">
        <f>VLOOKUP($B155,ma!$A:$B,2,0)</f>
        <v>KIM KÊ</v>
      </c>
      <c r="G155" s="102" t="s">
        <v>1688</v>
      </c>
      <c r="H155" s="103" t="s">
        <v>1518</v>
      </c>
      <c r="I155" s="104"/>
      <c r="J155" s="99"/>
      <c r="K155" s="106">
        <v>1.6</v>
      </c>
      <c r="L155" s="107">
        <f t="shared" si="19"/>
        <v>80000</v>
      </c>
      <c r="M155" s="104"/>
      <c r="N155" s="101"/>
      <c r="O155" s="101">
        <v>1</v>
      </c>
      <c r="P155" s="104">
        <f>VLOOKUP($B155,ma!$A:$C,3,0)</f>
        <v>800000</v>
      </c>
      <c r="Q155" s="108">
        <v>880000</v>
      </c>
      <c r="R155" s="109">
        <v>0.1</v>
      </c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spans="1:27" ht="14">
      <c r="A156" s="97">
        <f t="shared" si="20"/>
        <v>19</v>
      </c>
      <c r="B156" s="98" t="s">
        <v>1687</v>
      </c>
      <c r="C156" s="99" t="s">
        <v>24</v>
      </c>
      <c r="D156" s="100">
        <v>46178</v>
      </c>
      <c r="E156" s="99" t="str">
        <f>VLOOKUP($C156,xe!$A:$B,2,0)</f>
        <v>50H-55161</v>
      </c>
      <c r="F156" s="101" t="str">
        <f>VLOOKUP($B156,ma!$A:$B,2,0)</f>
        <v>KIM KÊ</v>
      </c>
      <c r="G156" s="102" t="s">
        <v>1689</v>
      </c>
      <c r="H156" s="103" t="s">
        <v>1518</v>
      </c>
      <c r="I156" s="104"/>
      <c r="J156" s="99"/>
      <c r="K156" s="106">
        <v>1.6</v>
      </c>
      <c r="L156" s="107">
        <f t="shared" si="19"/>
        <v>80000</v>
      </c>
      <c r="M156" s="104"/>
      <c r="N156" s="101"/>
      <c r="O156" s="101">
        <v>1</v>
      </c>
      <c r="P156" s="104">
        <f>VLOOKUP($B156,ma!$A:$C,3,0)</f>
        <v>800000</v>
      </c>
      <c r="Q156" s="108">
        <v>880000</v>
      </c>
      <c r="R156" s="109">
        <v>0.1</v>
      </c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spans="1:27" ht="14">
      <c r="A157" s="97">
        <f t="shared" si="20"/>
        <v>20</v>
      </c>
      <c r="B157" s="98" t="s">
        <v>1687</v>
      </c>
      <c r="C157" s="99" t="s">
        <v>1488</v>
      </c>
      <c r="D157" s="100">
        <v>46178</v>
      </c>
      <c r="E157" s="99" t="e">
        <f>VLOOKUP($C157,xe!$A:$B,2,0)</f>
        <v>#N/A</v>
      </c>
      <c r="F157" s="101" t="str">
        <f>VLOOKUP($B157,ma!$A:$B,2,0)</f>
        <v>KIM KÊ</v>
      </c>
      <c r="G157" s="102" t="s">
        <v>1690</v>
      </c>
      <c r="H157" s="103" t="s">
        <v>1518</v>
      </c>
      <c r="I157" s="104"/>
      <c r="J157" s="99"/>
      <c r="K157" s="106">
        <v>1.8</v>
      </c>
      <c r="L157" s="107">
        <f t="shared" si="19"/>
        <v>90000</v>
      </c>
      <c r="M157" s="104"/>
      <c r="N157" s="101"/>
      <c r="O157" s="101">
        <v>1</v>
      </c>
      <c r="P157" s="104">
        <f>VLOOKUP($B157,ma!$A:$C,3,0)</f>
        <v>800000</v>
      </c>
      <c r="Q157" s="108">
        <v>880000</v>
      </c>
      <c r="R157" s="109">
        <v>0.1</v>
      </c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spans="1:27" ht="14">
      <c r="A158" s="97">
        <f t="shared" si="20"/>
        <v>21</v>
      </c>
      <c r="B158" s="98" t="s">
        <v>1471</v>
      </c>
      <c r="C158" s="99" t="s">
        <v>28</v>
      </c>
      <c r="D158" s="100">
        <v>46178</v>
      </c>
      <c r="E158" s="99" t="str">
        <f>VLOOKUP($C158,xe!$A:$B,2,0)</f>
        <v>50H-54580</v>
      </c>
      <c r="F158" s="101" t="str">
        <f>VLOOKUP($B158,ma!$A:$B,2,0)</f>
        <v>SONG HỒNG TÂN ( KBX )</v>
      </c>
      <c r="G158" s="102" t="s">
        <v>1691</v>
      </c>
      <c r="H158" s="103" t="s">
        <v>1518</v>
      </c>
      <c r="I158" s="104"/>
      <c r="J158" s="99"/>
      <c r="K158" s="106">
        <v>2</v>
      </c>
      <c r="L158" s="107">
        <v>50000</v>
      </c>
      <c r="M158" s="104"/>
      <c r="N158" s="101"/>
      <c r="O158" s="101">
        <v>1</v>
      </c>
      <c r="P158" s="104">
        <f>VLOOKUP($B158,ma!$A:$C,3,0)</f>
        <v>900000</v>
      </c>
      <c r="Q158" s="108">
        <v>990000</v>
      </c>
      <c r="R158" s="109">
        <v>0.1</v>
      </c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spans="1:27" ht="14">
      <c r="A159" s="97">
        <f t="shared" si="20"/>
        <v>22</v>
      </c>
      <c r="B159" s="98" t="s">
        <v>1471</v>
      </c>
      <c r="C159" s="99" t="s">
        <v>20</v>
      </c>
      <c r="D159" s="100">
        <v>46178</v>
      </c>
      <c r="E159" s="99" t="str">
        <f>VLOOKUP($C159,xe!$A:$B,2,0)</f>
        <v>50H-64470</v>
      </c>
      <c r="F159" s="101" t="str">
        <f>VLOOKUP($B159,ma!$A:$B,2,0)</f>
        <v>SONG HỒNG TÂN ( KBX )</v>
      </c>
      <c r="G159" s="102" t="s">
        <v>1692</v>
      </c>
      <c r="H159" s="103" t="s">
        <v>1518</v>
      </c>
      <c r="I159" s="104"/>
      <c r="J159" s="99"/>
      <c r="K159" s="106">
        <v>2.2000000000000002</v>
      </c>
      <c r="L159" s="107">
        <v>50000</v>
      </c>
      <c r="M159" s="104"/>
      <c r="N159" s="101"/>
      <c r="O159" s="101">
        <v>1</v>
      </c>
      <c r="P159" s="104">
        <f>VLOOKUP($B159,ma!$A:$C,3,0)</f>
        <v>900000</v>
      </c>
      <c r="Q159" s="108">
        <v>990000</v>
      </c>
      <c r="R159" s="109">
        <v>0.1</v>
      </c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spans="1:27" ht="14">
      <c r="A160" s="97">
        <f t="shared" si="20"/>
        <v>23</v>
      </c>
      <c r="B160" s="98" t="s">
        <v>1471</v>
      </c>
      <c r="C160" s="99" t="s">
        <v>12</v>
      </c>
      <c r="D160" s="100">
        <v>46178</v>
      </c>
      <c r="E160" s="99" t="str">
        <f>VLOOKUP($C160,xe!$A:$B,2,0)</f>
        <v>50E-164,61</v>
      </c>
      <c r="F160" s="101" t="str">
        <f>VLOOKUP($B160,ma!$A:$B,2,0)</f>
        <v>SONG HỒNG TÂN ( KBX )</v>
      </c>
      <c r="G160" s="102" t="s">
        <v>1693</v>
      </c>
      <c r="H160" s="103" t="s">
        <v>1518</v>
      </c>
      <c r="I160" s="104"/>
      <c r="J160" s="99"/>
      <c r="K160" s="106">
        <v>2</v>
      </c>
      <c r="L160" s="107">
        <v>50000</v>
      </c>
      <c r="M160" s="104"/>
      <c r="N160" s="101"/>
      <c r="O160" s="101">
        <v>1</v>
      </c>
      <c r="P160" s="104">
        <f>VLOOKUP($B160,ma!$A:$C,3,0)</f>
        <v>900000</v>
      </c>
      <c r="Q160" s="108">
        <v>990000</v>
      </c>
      <c r="R160" s="109">
        <v>0.1</v>
      </c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spans="1:27" ht="14">
      <c r="A161" s="97">
        <f t="shared" si="20"/>
        <v>24</v>
      </c>
      <c r="B161" s="98" t="s">
        <v>1471</v>
      </c>
      <c r="C161" s="99" t="s">
        <v>62</v>
      </c>
      <c r="D161" s="100">
        <v>46178</v>
      </c>
      <c r="E161" s="114" t="e">
        <f>VLOOKUP($C161,xe!$A:$B,2,0)</f>
        <v>#N/A</v>
      </c>
      <c r="F161" s="101" t="str">
        <f>VLOOKUP($B161,ma!$A:$B,2,0)</f>
        <v>SONG HỒNG TÂN ( KBX )</v>
      </c>
      <c r="G161" s="102" t="s">
        <v>1694</v>
      </c>
      <c r="H161" s="103" t="s">
        <v>1518</v>
      </c>
      <c r="I161" s="104"/>
      <c r="J161" s="99"/>
      <c r="K161" s="106">
        <v>2</v>
      </c>
      <c r="L161" s="107"/>
      <c r="M161" s="104"/>
      <c r="N161" s="101"/>
      <c r="O161" s="101">
        <v>1</v>
      </c>
      <c r="P161" s="104">
        <f>VLOOKUP($B161,ma!$A:$C,3,0)</f>
        <v>900000</v>
      </c>
      <c r="Q161" s="108">
        <v>990000</v>
      </c>
      <c r="R161" s="109">
        <v>0.1</v>
      </c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spans="1:27" ht="14">
      <c r="A162" s="97">
        <f t="shared" si="20"/>
        <v>25</v>
      </c>
      <c r="B162" s="98" t="s">
        <v>1471</v>
      </c>
      <c r="C162" s="99" t="s">
        <v>1695</v>
      </c>
      <c r="D162" s="100">
        <v>46178</v>
      </c>
      <c r="E162" s="99" t="str">
        <f>VLOOKUP($C162,xe!$A:$B,2,0)</f>
        <v>50H-64316</v>
      </c>
      <c r="F162" s="101" t="str">
        <f>VLOOKUP($B162,ma!$A:$B,2,0)</f>
        <v>SONG HỒNG TÂN ( KBX )</v>
      </c>
      <c r="G162" s="102" t="s">
        <v>1696</v>
      </c>
      <c r="H162" s="103" t="s">
        <v>1518</v>
      </c>
      <c r="I162" s="104"/>
      <c r="J162" s="99"/>
      <c r="K162" s="106">
        <v>2</v>
      </c>
      <c r="L162" s="107">
        <v>50000</v>
      </c>
      <c r="M162" s="104"/>
      <c r="N162" s="101"/>
      <c r="O162" s="101">
        <v>1</v>
      </c>
      <c r="P162" s="104">
        <f>VLOOKUP($B162,ma!$A:$C,3,0)</f>
        <v>900000</v>
      </c>
      <c r="Q162" s="108">
        <v>990000</v>
      </c>
      <c r="R162" s="109">
        <v>0.1</v>
      </c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spans="1:27" ht="14">
      <c r="A163" s="97">
        <f t="shared" si="20"/>
        <v>26</v>
      </c>
      <c r="B163" s="98" t="s">
        <v>1507</v>
      </c>
      <c r="C163" s="99" t="s">
        <v>1554</v>
      </c>
      <c r="D163" s="100">
        <v>46178</v>
      </c>
      <c r="E163" s="99" t="str">
        <f>VLOOKUP($C163,xe!$A:$B,2,0)</f>
        <v>50H-63174</v>
      </c>
      <c r="F163" s="101" t="str">
        <f>VLOOKUP($B163,ma!$A:$B,2,0)</f>
        <v>BHX NHÀ BÈ</v>
      </c>
      <c r="G163" s="102" t="s">
        <v>1697</v>
      </c>
      <c r="H163" s="103" t="s">
        <v>1518</v>
      </c>
      <c r="I163" s="104"/>
      <c r="J163" s="99"/>
      <c r="K163" s="106">
        <v>1.8</v>
      </c>
      <c r="L163" s="113">
        <v>180000</v>
      </c>
      <c r="M163" s="104"/>
      <c r="N163" s="101"/>
      <c r="O163" s="101">
        <v>1</v>
      </c>
      <c r="P163" s="104">
        <f>VLOOKUP($B163,ma!$A:$C,3,0)</f>
        <v>400000</v>
      </c>
      <c r="Q163" s="108">
        <v>440000</v>
      </c>
      <c r="R163" s="109">
        <v>0.1</v>
      </c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spans="1:27" ht="14">
      <c r="A164" s="97">
        <f t="shared" si="20"/>
        <v>27</v>
      </c>
      <c r="B164" s="98" t="s">
        <v>1507</v>
      </c>
      <c r="C164" s="99" t="s">
        <v>1698</v>
      </c>
      <c r="D164" s="100">
        <v>46178</v>
      </c>
      <c r="E164" s="99" t="str">
        <f>VLOOKUP($C164,xe!$A:$B,2,0)</f>
        <v>51H -88294</v>
      </c>
      <c r="F164" s="101" t="str">
        <f>VLOOKUP($B164,ma!$A:$B,2,0)</f>
        <v>BHX NHÀ BÈ</v>
      </c>
      <c r="G164" s="102" t="s">
        <v>1699</v>
      </c>
      <c r="H164" s="103" t="s">
        <v>1518</v>
      </c>
      <c r="I164" s="104"/>
      <c r="J164" s="99"/>
      <c r="K164" s="106">
        <v>1.6</v>
      </c>
      <c r="L164" s="113">
        <v>160000</v>
      </c>
      <c r="M164" s="104"/>
      <c r="N164" s="101"/>
      <c r="O164" s="101">
        <v>1</v>
      </c>
      <c r="P164" s="104">
        <f>VLOOKUP($B164,ma!$A:$C,3,0)</f>
        <v>400000</v>
      </c>
      <c r="Q164" s="108">
        <v>440000</v>
      </c>
      <c r="R164" s="109">
        <v>0.1</v>
      </c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spans="1:27" ht="14">
      <c r="A165" s="97">
        <f t="shared" si="20"/>
        <v>28</v>
      </c>
      <c r="B165" s="98" t="s">
        <v>1645</v>
      </c>
      <c r="C165" s="99" t="s">
        <v>1565</v>
      </c>
      <c r="D165" s="100">
        <v>46178</v>
      </c>
      <c r="E165" s="99" t="str">
        <f>VLOOKUP($C165,xe!$A:$B,2,0)</f>
        <v>50H-55116</v>
      </c>
      <c r="F165" s="101" t="str">
        <f>VLOOKUP($B165,ma!$A:$B,2,0)</f>
        <v>AEON RDC Q12</v>
      </c>
      <c r="G165" s="102" t="s">
        <v>1700</v>
      </c>
      <c r="H165" s="103" t="s">
        <v>1518</v>
      </c>
      <c r="I165" s="104"/>
      <c r="J165" s="105" t="s">
        <v>119</v>
      </c>
      <c r="K165" s="106">
        <v>1.4</v>
      </c>
      <c r="L165" s="107">
        <f t="shared" ref="L165:L168" si="21">K165*50000</f>
        <v>70000</v>
      </c>
      <c r="M165" s="104"/>
      <c r="N165" s="101"/>
      <c r="O165" s="101">
        <v>1</v>
      </c>
      <c r="P165" s="104">
        <f>VLOOKUP($B165,ma!$A:$C,3,0)</f>
        <v>800000</v>
      </c>
      <c r="Q165" s="108">
        <v>880000</v>
      </c>
      <c r="R165" s="109">
        <v>0.1</v>
      </c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spans="1:27" ht="14">
      <c r="A166" s="97">
        <f t="shared" si="20"/>
        <v>29</v>
      </c>
      <c r="B166" s="98" t="s">
        <v>1645</v>
      </c>
      <c r="C166" s="99" t="s">
        <v>1509</v>
      </c>
      <c r="D166" s="100">
        <v>46178</v>
      </c>
      <c r="E166" s="99" t="str">
        <f>VLOOKUP($C166,xe!$A:$B,2,0)</f>
        <v>50H-70216</v>
      </c>
      <c r="F166" s="101" t="str">
        <f>VLOOKUP($B166,ma!$A:$B,2,0)</f>
        <v>AEON RDC Q12</v>
      </c>
      <c r="G166" s="102" t="s">
        <v>1701</v>
      </c>
      <c r="H166" s="103" t="s">
        <v>1518</v>
      </c>
      <c r="I166" s="104"/>
      <c r="J166" s="105" t="s">
        <v>119</v>
      </c>
      <c r="K166" s="106">
        <v>1.4</v>
      </c>
      <c r="L166" s="107">
        <f t="shared" si="21"/>
        <v>70000</v>
      </c>
      <c r="M166" s="104"/>
      <c r="N166" s="101"/>
      <c r="O166" s="101">
        <v>1</v>
      </c>
      <c r="P166" s="104">
        <f>VLOOKUP($B166,ma!$A:$C,3,0)</f>
        <v>800000</v>
      </c>
      <c r="Q166" s="108">
        <v>880000</v>
      </c>
      <c r="R166" s="109">
        <v>0.1</v>
      </c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spans="1:27" ht="14">
      <c r="A167" s="97">
        <f t="shared" si="20"/>
        <v>30</v>
      </c>
      <c r="B167" s="98" t="s">
        <v>1702</v>
      </c>
      <c r="C167" s="99" t="s">
        <v>1561</v>
      </c>
      <c r="D167" s="100">
        <v>46178</v>
      </c>
      <c r="E167" s="99" t="e">
        <f>VLOOKUP($C167,xe!$A:$B,2,0)</f>
        <v>#N/A</v>
      </c>
      <c r="F167" s="101" t="str">
        <f>VLOOKUP($B167,ma!$A:$B,2,0)</f>
        <v>LOTTEMART-Q7</v>
      </c>
      <c r="G167" s="102" t="s">
        <v>1703</v>
      </c>
      <c r="H167" s="103" t="s">
        <v>1704</v>
      </c>
      <c r="I167" s="104"/>
      <c r="J167" s="105" t="s">
        <v>119</v>
      </c>
      <c r="K167" s="106">
        <v>2</v>
      </c>
      <c r="L167" s="107">
        <f t="shared" si="21"/>
        <v>100000</v>
      </c>
      <c r="M167" s="104"/>
      <c r="N167" s="101"/>
      <c r="O167" s="101">
        <v>1</v>
      </c>
      <c r="P167" s="104">
        <f>VLOOKUP($B167,ma!$A:$C,3,0)</f>
        <v>800000</v>
      </c>
      <c r="Q167" s="108">
        <v>880000</v>
      </c>
      <c r="R167" s="109">
        <v>0.1</v>
      </c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spans="1:27" ht="14">
      <c r="A168" s="97">
        <f t="shared" si="20"/>
        <v>31</v>
      </c>
      <c r="B168" s="98" t="s">
        <v>1702</v>
      </c>
      <c r="C168" s="99" t="s">
        <v>1572</v>
      </c>
      <c r="D168" s="100">
        <v>46178</v>
      </c>
      <c r="E168" s="99" t="str">
        <f>VLOOKUP($C168,xe!$A:$B,2,0)</f>
        <v>50H-69501</v>
      </c>
      <c r="F168" s="101" t="str">
        <f>VLOOKUP($B168,ma!$A:$B,2,0)</f>
        <v>LOTTEMART-Q7</v>
      </c>
      <c r="G168" s="102" t="s">
        <v>1705</v>
      </c>
      <c r="H168" s="103" t="s">
        <v>1704</v>
      </c>
      <c r="I168" s="104"/>
      <c r="J168" s="105" t="s">
        <v>119</v>
      </c>
      <c r="K168" s="106">
        <v>2</v>
      </c>
      <c r="L168" s="107">
        <f t="shared" si="21"/>
        <v>100000</v>
      </c>
      <c r="M168" s="104"/>
      <c r="N168" s="101"/>
      <c r="O168" s="101">
        <v>1</v>
      </c>
      <c r="P168" s="104">
        <f>VLOOKUP($B168,ma!$A:$C,3,0)</f>
        <v>800000</v>
      </c>
      <c r="Q168" s="108">
        <v>880000</v>
      </c>
      <c r="R168" s="109">
        <v>0.1</v>
      </c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spans="1:27" ht="14">
      <c r="A169" s="97">
        <f t="shared" si="20"/>
        <v>32</v>
      </c>
      <c r="B169" s="98" t="s">
        <v>1113</v>
      </c>
      <c r="C169" s="99" t="s">
        <v>1484</v>
      </c>
      <c r="D169" s="100">
        <v>46178</v>
      </c>
      <c r="E169" s="99" t="e">
        <f>VLOOKUP($C169,xe!$A:$B,2,0)</f>
        <v>#N/A</v>
      </c>
      <c r="F169" s="101" t="str">
        <f>VLOOKUP($B169,ma!$A:$B,2,0)</f>
        <v>BHX ( VL)</v>
      </c>
      <c r="G169" s="102" t="s">
        <v>1706</v>
      </c>
      <c r="H169" s="103" t="s">
        <v>1518</v>
      </c>
      <c r="I169" s="104"/>
      <c r="J169" s="126" t="s">
        <v>1520</v>
      </c>
      <c r="K169" s="106">
        <v>1.2</v>
      </c>
      <c r="L169" s="107">
        <f>K169*80000</f>
        <v>96000</v>
      </c>
      <c r="M169" s="104"/>
      <c r="N169" s="101"/>
      <c r="O169" s="101">
        <v>1</v>
      </c>
      <c r="P169" s="104">
        <f>VLOOKUP($B169,ma!$A:$C,3,0)</f>
        <v>800000</v>
      </c>
      <c r="Q169" s="108">
        <v>880000</v>
      </c>
      <c r="R169" s="109">
        <v>0.1</v>
      </c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spans="1:27" ht="14">
      <c r="A170" s="116">
        <v>1</v>
      </c>
      <c r="B170" s="117" t="s">
        <v>1707</v>
      </c>
      <c r="C170" s="118" t="s">
        <v>1552</v>
      </c>
      <c r="D170" s="119">
        <v>46179</v>
      </c>
      <c r="E170" s="118" t="str">
        <f>VLOOKUP($C170,xe!$A:$B,2,0)</f>
        <v>50H-64470</v>
      </c>
      <c r="F170" s="120" t="str">
        <f>VLOOKUP($B170,ma!$A:$B,2,0)</f>
        <v>XUÂN VÂN ( K BX )</v>
      </c>
      <c r="G170" s="121" t="s">
        <v>1708</v>
      </c>
      <c r="H170" s="122" t="s">
        <v>1518</v>
      </c>
      <c r="I170" s="123"/>
      <c r="J170" s="118"/>
      <c r="K170" s="124">
        <v>2</v>
      </c>
      <c r="L170" s="125">
        <v>50000</v>
      </c>
      <c r="M170" s="123"/>
      <c r="N170" s="120"/>
      <c r="O170" s="120">
        <v>1</v>
      </c>
      <c r="P170" s="123">
        <f>VLOOKUP($B170,ma!$A:$C,3,0)</f>
        <v>800000</v>
      </c>
      <c r="Q170" s="108">
        <v>880000</v>
      </c>
      <c r="R170" s="109">
        <v>0.1</v>
      </c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spans="1:27" ht="14">
      <c r="A171" s="97">
        <f t="shared" ref="A171:A184" si="22">A170+1</f>
        <v>2</v>
      </c>
      <c r="B171" s="98" t="s">
        <v>1707</v>
      </c>
      <c r="C171" s="99" t="s">
        <v>1698</v>
      </c>
      <c r="D171" s="100">
        <v>46179</v>
      </c>
      <c r="E171" s="99" t="str">
        <f>VLOOKUP($C171,xe!$A:$B,2,0)</f>
        <v>51H -88294</v>
      </c>
      <c r="F171" s="101" t="str">
        <f>VLOOKUP($B171,ma!$A:$B,2,0)</f>
        <v>XUÂN VÂN ( K BX )</v>
      </c>
      <c r="G171" s="102" t="s">
        <v>1709</v>
      </c>
      <c r="H171" s="103" t="s">
        <v>1518</v>
      </c>
      <c r="I171" s="104"/>
      <c r="J171" s="99"/>
      <c r="K171" s="106">
        <v>1.8</v>
      </c>
      <c r="L171" s="107">
        <v>50000</v>
      </c>
      <c r="M171" s="104"/>
      <c r="N171" s="101"/>
      <c r="O171" s="101">
        <v>1</v>
      </c>
      <c r="P171" s="104">
        <f>VLOOKUP($B171,ma!$A:$C,3,0)</f>
        <v>800000</v>
      </c>
      <c r="Q171" s="108">
        <v>880000</v>
      </c>
      <c r="R171" s="109">
        <v>0.1</v>
      </c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spans="1:27" ht="14">
      <c r="A172" s="97">
        <f t="shared" si="22"/>
        <v>3</v>
      </c>
      <c r="B172" s="98" t="s">
        <v>1710</v>
      </c>
      <c r="C172" s="99" t="s">
        <v>1695</v>
      </c>
      <c r="D172" s="100">
        <v>46179</v>
      </c>
      <c r="E172" s="99" t="str">
        <f>VLOOKUP($C172,xe!$A:$B,2,0)</f>
        <v>50H-64316</v>
      </c>
      <c r="F172" s="101" t="str">
        <f>VLOOKUP($B172,ma!$A:$B,2,0)</f>
        <v>M. BÌNH PHÚ</v>
      </c>
      <c r="G172" s="102" t="s">
        <v>1711</v>
      </c>
      <c r="H172" s="103" t="s">
        <v>1518</v>
      </c>
      <c r="I172" s="104"/>
      <c r="J172" s="99"/>
      <c r="K172" s="106">
        <v>1.8</v>
      </c>
      <c r="L172" s="107">
        <f t="shared" ref="L172:L174" si="23">K172*50000</f>
        <v>90000</v>
      </c>
      <c r="M172" s="104"/>
      <c r="N172" s="101"/>
      <c r="O172" s="101">
        <v>1</v>
      </c>
      <c r="P172" s="104">
        <f>VLOOKUP($B172,ma!$A:$C,3,0)</f>
        <v>800000</v>
      </c>
      <c r="Q172" s="108">
        <v>880000</v>
      </c>
      <c r="R172" s="109">
        <v>0.1</v>
      </c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spans="1:27" ht="14">
      <c r="A173" s="97">
        <f t="shared" si="22"/>
        <v>4</v>
      </c>
      <c r="B173" s="98" t="s">
        <v>1710</v>
      </c>
      <c r="C173" s="99" t="s">
        <v>1549</v>
      </c>
      <c r="D173" s="100">
        <v>46179</v>
      </c>
      <c r="E173" s="99" t="str">
        <f>VLOOKUP($C173,xe!$A:$B,2,0)</f>
        <v>50H-55443</v>
      </c>
      <c r="F173" s="101" t="str">
        <f>VLOOKUP($B173,ma!$A:$B,2,0)</f>
        <v>M. BÌNH PHÚ</v>
      </c>
      <c r="G173" s="102" t="s">
        <v>1712</v>
      </c>
      <c r="H173" s="103" t="s">
        <v>1518</v>
      </c>
      <c r="I173" s="104"/>
      <c r="J173" s="99"/>
      <c r="K173" s="106">
        <v>1.2</v>
      </c>
      <c r="L173" s="107">
        <f t="shared" si="23"/>
        <v>60000</v>
      </c>
      <c r="M173" s="104"/>
      <c r="N173" s="101"/>
      <c r="O173" s="101">
        <v>1</v>
      </c>
      <c r="P173" s="104">
        <f>VLOOKUP($B173,ma!$A:$C,3,0)</f>
        <v>800000</v>
      </c>
      <c r="Q173" s="108">
        <v>880000</v>
      </c>
      <c r="R173" s="109">
        <v>0.1</v>
      </c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spans="1:27" ht="14">
      <c r="A174" s="97">
        <f t="shared" si="22"/>
        <v>5</v>
      </c>
      <c r="B174" s="98" t="s">
        <v>1710</v>
      </c>
      <c r="C174" s="99" t="s">
        <v>24</v>
      </c>
      <c r="D174" s="100">
        <v>46179</v>
      </c>
      <c r="E174" s="99" t="str">
        <f>VLOOKUP($C174,xe!$A:$B,2,0)</f>
        <v>50H-55161</v>
      </c>
      <c r="F174" s="101" t="str">
        <f>VLOOKUP($B174,ma!$A:$B,2,0)</f>
        <v>M. BÌNH PHÚ</v>
      </c>
      <c r="G174" s="102" t="s">
        <v>1713</v>
      </c>
      <c r="H174" s="103" t="s">
        <v>1518</v>
      </c>
      <c r="I174" s="104"/>
      <c r="J174" s="99"/>
      <c r="K174" s="106">
        <v>1.2</v>
      </c>
      <c r="L174" s="107">
        <f t="shared" si="23"/>
        <v>60000</v>
      </c>
      <c r="M174" s="104"/>
      <c r="N174" s="101"/>
      <c r="O174" s="101">
        <v>1</v>
      </c>
      <c r="P174" s="104">
        <f>VLOOKUP($B174,ma!$A:$C,3,0)</f>
        <v>800000</v>
      </c>
      <c r="Q174" s="108">
        <v>880000</v>
      </c>
      <c r="R174" s="109">
        <v>0.1</v>
      </c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spans="1:27" ht="14">
      <c r="A175" s="97">
        <f t="shared" si="22"/>
        <v>6</v>
      </c>
      <c r="B175" s="98" t="s">
        <v>1468</v>
      </c>
      <c r="C175" s="99" t="s">
        <v>1554</v>
      </c>
      <c r="D175" s="100">
        <v>46179</v>
      </c>
      <c r="E175" s="99" t="str">
        <f>VLOOKUP($C175,xe!$A:$B,2,0)</f>
        <v>50H-63174</v>
      </c>
      <c r="F175" s="101" t="str">
        <f>VLOOKUP($B175,ma!$A:$B,2,0)</f>
        <v>ANFOOD Q12 ( K BX )</v>
      </c>
      <c r="G175" s="102" t="s">
        <v>1714</v>
      </c>
      <c r="H175" s="103" t="s">
        <v>1518</v>
      </c>
      <c r="I175" s="104"/>
      <c r="J175" s="99"/>
      <c r="K175" s="106">
        <v>2</v>
      </c>
      <c r="L175" s="107">
        <v>50000</v>
      </c>
      <c r="M175" s="104"/>
      <c r="N175" s="101"/>
      <c r="O175" s="101">
        <v>1</v>
      </c>
      <c r="P175" s="104">
        <f>VLOOKUP($B175,ma!$A:$C,3,0)</f>
        <v>800000</v>
      </c>
      <c r="Q175" s="108">
        <v>880000</v>
      </c>
      <c r="R175" s="109">
        <v>0.1</v>
      </c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spans="1:27" ht="14">
      <c r="A176" s="97">
        <f t="shared" si="22"/>
        <v>7</v>
      </c>
      <c r="B176" s="98" t="s">
        <v>1457</v>
      </c>
      <c r="C176" s="99" t="s">
        <v>1570</v>
      </c>
      <c r="D176" s="100">
        <v>46179</v>
      </c>
      <c r="E176" s="99" t="str">
        <f>VLOOKUP($C176,xe!$A:$B,2,0)</f>
        <v>50H-66445</v>
      </c>
      <c r="F176" s="101" t="str">
        <f>VLOOKUP($B176,ma!$A:$B,2,0)</f>
        <v>E MART P.V.TRỊ</v>
      </c>
      <c r="G176" s="102" t="s">
        <v>1715</v>
      </c>
      <c r="H176" s="103" t="s">
        <v>1518</v>
      </c>
      <c r="I176" s="104"/>
      <c r="J176" s="105" t="s">
        <v>119</v>
      </c>
      <c r="K176" s="106">
        <v>2</v>
      </c>
      <c r="L176" s="107">
        <f t="shared" ref="L176:L179" si="24">K176*100000</f>
        <v>200000</v>
      </c>
      <c r="M176" s="104"/>
      <c r="N176" s="101"/>
      <c r="O176" s="101">
        <v>1</v>
      </c>
      <c r="P176" s="104">
        <f>VLOOKUP($B176,ma!$A:$C,3,0)</f>
        <v>800000</v>
      </c>
      <c r="Q176" s="108">
        <v>880000</v>
      </c>
      <c r="R176" s="109">
        <v>0.1</v>
      </c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spans="1:27" ht="14">
      <c r="A177" s="97">
        <f t="shared" si="22"/>
        <v>8</v>
      </c>
      <c r="B177" s="98" t="s">
        <v>1457</v>
      </c>
      <c r="C177" s="99" t="s">
        <v>28</v>
      </c>
      <c r="D177" s="100">
        <v>46179</v>
      </c>
      <c r="E177" s="99" t="str">
        <f>VLOOKUP($C177,xe!$A:$B,2,0)</f>
        <v>50H-54580</v>
      </c>
      <c r="F177" s="101" t="str">
        <f>VLOOKUP($B177,ma!$A:$B,2,0)</f>
        <v>E MART P.V.TRỊ</v>
      </c>
      <c r="G177" s="102" t="s">
        <v>1716</v>
      </c>
      <c r="H177" s="103" t="s">
        <v>1518</v>
      </c>
      <c r="I177" s="104"/>
      <c r="J177" s="105" t="s">
        <v>119</v>
      </c>
      <c r="K177" s="106">
        <v>2</v>
      </c>
      <c r="L177" s="107">
        <f t="shared" si="24"/>
        <v>200000</v>
      </c>
      <c r="M177" s="104"/>
      <c r="N177" s="101"/>
      <c r="O177" s="101">
        <v>1</v>
      </c>
      <c r="P177" s="104">
        <f>VLOOKUP($B177,ma!$A:$C,3,0)</f>
        <v>800000</v>
      </c>
      <c r="Q177" s="108">
        <v>880000</v>
      </c>
      <c r="R177" s="109">
        <v>0.1</v>
      </c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spans="1:27" ht="14">
      <c r="A178" s="97">
        <f t="shared" si="22"/>
        <v>9</v>
      </c>
      <c r="B178" s="98" t="s">
        <v>1457</v>
      </c>
      <c r="C178" s="99" t="s">
        <v>1717</v>
      </c>
      <c r="D178" s="100">
        <v>46179</v>
      </c>
      <c r="E178" s="99" t="str">
        <f>VLOOKUP($C178,xe!$A:$B,2,0)</f>
        <v>50E-164,61</v>
      </c>
      <c r="F178" s="101" t="str">
        <f>VLOOKUP($B178,ma!$A:$B,2,0)</f>
        <v>E MART P.V.TRỊ</v>
      </c>
      <c r="G178" s="102" t="s">
        <v>1718</v>
      </c>
      <c r="H178" s="103" t="s">
        <v>1518</v>
      </c>
      <c r="I178" s="104"/>
      <c r="J178" s="105" t="s">
        <v>119</v>
      </c>
      <c r="K178" s="106">
        <v>1.8</v>
      </c>
      <c r="L178" s="107">
        <f t="shared" si="24"/>
        <v>180000</v>
      </c>
      <c r="M178" s="129">
        <v>300000</v>
      </c>
      <c r="N178" s="130" t="s">
        <v>1719</v>
      </c>
      <c r="O178" s="101">
        <v>1</v>
      </c>
      <c r="P178" s="104">
        <f>VLOOKUP($B178,ma!$A:$C,3,0)</f>
        <v>800000</v>
      </c>
      <c r="Q178" s="108">
        <v>880000</v>
      </c>
      <c r="R178" s="109">
        <v>0.1</v>
      </c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spans="1:27" ht="14">
      <c r="A179" s="97">
        <f t="shared" si="22"/>
        <v>10</v>
      </c>
      <c r="B179" s="98" t="s">
        <v>1457</v>
      </c>
      <c r="C179" s="99" t="s">
        <v>1576</v>
      </c>
      <c r="D179" s="100">
        <v>46179</v>
      </c>
      <c r="E179" s="99" t="str">
        <f>VLOOKUP($C179,xe!$A:$B,2,0)</f>
        <v>50H-74619</v>
      </c>
      <c r="F179" s="101" t="str">
        <f>VLOOKUP($B179,ma!$A:$B,2,0)</f>
        <v>E MART P.V.TRỊ</v>
      </c>
      <c r="G179" s="102" t="s">
        <v>1720</v>
      </c>
      <c r="H179" s="103" t="s">
        <v>1518</v>
      </c>
      <c r="I179" s="104"/>
      <c r="J179" s="105" t="s">
        <v>119</v>
      </c>
      <c r="K179" s="106">
        <v>1.6</v>
      </c>
      <c r="L179" s="107">
        <f t="shared" si="24"/>
        <v>160000</v>
      </c>
      <c r="M179" s="129">
        <v>300000</v>
      </c>
      <c r="N179" s="130" t="s">
        <v>1719</v>
      </c>
      <c r="O179" s="101">
        <v>1</v>
      </c>
      <c r="P179" s="104">
        <f>VLOOKUP($B179,ma!$A:$C,3,0)</f>
        <v>800000</v>
      </c>
      <c r="Q179" s="108">
        <v>880000</v>
      </c>
      <c r="R179" s="109">
        <v>0.1</v>
      </c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spans="1:27" ht="14">
      <c r="A180" s="97">
        <f t="shared" si="22"/>
        <v>11</v>
      </c>
      <c r="B180" s="98" t="s">
        <v>1666</v>
      </c>
      <c r="C180" s="99" t="s">
        <v>1505</v>
      </c>
      <c r="D180" s="100">
        <v>46179</v>
      </c>
      <c r="E180" s="99" t="str">
        <f>VLOOKUP($C180,xe!$A:$B,2,0)</f>
        <v>50H 87442</v>
      </c>
      <c r="F180" s="101" t="str">
        <f>VLOOKUP($B180,ma!$A:$B,2,0)</f>
        <v>EMART P.H.ÍCH</v>
      </c>
      <c r="G180" s="102" t="s">
        <v>1721</v>
      </c>
      <c r="H180" s="103" t="s">
        <v>1518</v>
      </c>
      <c r="I180" s="104"/>
      <c r="J180" s="105" t="s">
        <v>119</v>
      </c>
      <c r="K180" s="106">
        <v>1.6</v>
      </c>
      <c r="L180" s="107">
        <f t="shared" ref="L180:L186" si="25">K180*50000</f>
        <v>80000</v>
      </c>
      <c r="M180" s="129">
        <v>300000</v>
      </c>
      <c r="N180" s="130" t="s">
        <v>1719</v>
      </c>
      <c r="O180" s="101">
        <v>1</v>
      </c>
      <c r="P180" s="104">
        <f>VLOOKUP($B180,ma!$A:$C,3,0)</f>
        <v>800000</v>
      </c>
      <c r="Q180" s="108">
        <v>880000</v>
      </c>
      <c r="R180" s="109">
        <v>0.1</v>
      </c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spans="1:27" ht="14">
      <c r="A181" s="97">
        <f t="shared" si="22"/>
        <v>12</v>
      </c>
      <c r="B181" s="98" t="s">
        <v>1666</v>
      </c>
      <c r="C181" s="99" t="s">
        <v>1509</v>
      </c>
      <c r="D181" s="100">
        <v>46179</v>
      </c>
      <c r="E181" s="99" t="str">
        <f>VLOOKUP($C181,xe!$A:$B,2,0)</f>
        <v>50H-70216</v>
      </c>
      <c r="F181" s="101" t="str">
        <f>VLOOKUP($B181,ma!$A:$B,2,0)</f>
        <v>EMART P.H.ÍCH</v>
      </c>
      <c r="G181" s="102" t="s">
        <v>1722</v>
      </c>
      <c r="H181" s="103" t="s">
        <v>1518</v>
      </c>
      <c r="I181" s="104"/>
      <c r="J181" s="105" t="s">
        <v>119</v>
      </c>
      <c r="K181" s="106">
        <v>1.6</v>
      </c>
      <c r="L181" s="107">
        <f t="shared" si="25"/>
        <v>80000</v>
      </c>
      <c r="M181" s="129">
        <v>300000</v>
      </c>
      <c r="N181" s="130" t="s">
        <v>1719</v>
      </c>
      <c r="O181" s="101">
        <v>1</v>
      </c>
      <c r="P181" s="104">
        <f>VLOOKUP($B181,ma!$A:$C,3,0)</f>
        <v>800000</v>
      </c>
      <c r="Q181" s="108">
        <v>880000</v>
      </c>
      <c r="R181" s="109">
        <v>0.1</v>
      </c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spans="1:27" ht="14">
      <c r="A182" s="97">
        <f t="shared" si="22"/>
        <v>13</v>
      </c>
      <c r="B182" s="98" t="s">
        <v>1666</v>
      </c>
      <c r="C182" s="99" t="s">
        <v>1698</v>
      </c>
      <c r="D182" s="100">
        <v>46179</v>
      </c>
      <c r="E182" s="99" t="str">
        <f>VLOOKUP($C182,xe!$A:$B,2,0)</f>
        <v>51H -88294</v>
      </c>
      <c r="F182" s="101" t="str">
        <f>VLOOKUP($B182,ma!$A:$B,2,0)</f>
        <v>EMART P.H.ÍCH</v>
      </c>
      <c r="G182" s="102" t="s">
        <v>1723</v>
      </c>
      <c r="H182" s="103" t="s">
        <v>1518</v>
      </c>
      <c r="I182" s="104"/>
      <c r="J182" s="105" t="s">
        <v>119</v>
      </c>
      <c r="K182" s="106">
        <v>1.6</v>
      </c>
      <c r="L182" s="107">
        <f t="shared" si="25"/>
        <v>80000</v>
      </c>
      <c r="M182" s="129">
        <v>300000</v>
      </c>
      <c r="N182" s="130" t="s">
        <v>1719</v>
      </c>
      <c r="O182" s="101">
        <v>1</v>
      </c>
      <c r="P182" s="104">
        <f>VLOOKUP($B182,ma!$A:$C,3,0)</f>
        <v>800000</v>
      </c>
      <c r="Q182" s="108">
        <v>880000</v>
      </c>
      <c r="R182" s="109">
        <v>0.1</v>
      </c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spans="1:27" ht="14">
      <c r="A183" s="97">
        <f t="shared" si="22"/>
        <v>14</v>
      </c>
      <c r="B183" s="98" t="s">
        <v>89</v>
      </c>
      <c r="C183" s="99" t="s">
        <v>1717</v>
      </c>
      <c r="D183" s="100">
        <v>46179</v>
      </c>
      <c r="E183" s="99" t="str">
        <f>VLOOKUP($C183,xe!$A:$B,2,0)</f>
        <v>50E-164,61</v>
      </c>
      <c r="F183" s="101" t="str">
        <f>VLOOKUP($B183,ma!$A:$B,2,0)</f>
        <v>CALOFIC - UNI ( xe nhỏ )</v>
      </c>
      <c r="G183" s="102" t="s">
        <v>1724</v>
      </c>
      <c r="H183" s="103" t="s">
        <v>1518</v>
      </c>
      <c r="I183" s="104"/>
      <c r="J183" s="105" t="s">
        <v>119</v>
      </c>
      <c r="K183" s="106">
        <v>2</v>
      </c>
      <c r="L183" s="107">
        <f t="shared" si="25"/>
        <v>100000</v>
      </c>
      <c r="M183" s="104"/>
      <c r="N183" s="101"/>
      <c r="O183" s="101">
        <v>1</v>
      </c>
      <c r="P183" s="104">
        <f>VLOOKUP($B183,ma!$A:$C,3,0)</f>
        <v>300000</v>
      </c>
      <c r="Q183" s="108">
        <v>880000</v>
      </c>
      <c r="R183" s="109">
        <v>0.1</v>
      </c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 spans="1:27" ht="14">
      <c r="A184" s="97">
        <f t="shared" si="22"/>
        <v>15</v>
      </c>
      <c r="B184" s="98" t="s">
        <v>89</v>
      </c>
      <c r="C184" s="99" t="s">
        <v>1505</v>
      </c>
      <c r="D184" s="100">
        <v>46179</v>
      </c>
      <c r="E184" s="99" t="str">
        <f>VLOOKUP($C184,xe!$A:$B,2,0)</f>
        <v>50H 87442</v>
      </c>
      <c r="F184" s="101" t="str">
        <f>VLOOKUP($B184,ma!$A:$B,2,0)</f>
        <v>CALOFIC - UNI ( xe nhỏ )</v>
      </c>
      <c r="G184" s="102" t="s">
        <v>1725</v>
      </c>
      <c r="H184" s="103" t="s">
        <v>1518</v>
      </c>
      <c r="I184" s="104"/>
      <c r="J184" s="105" t="s">
        <v>119</v>
      </c>
      <c r="K184" s="106">
        <v>2</v>
      </c>
      <c r="L184" s="107">
        <f t="shared" si="25"/>
        <v>100000</v>
      </c>
      <c r="M184" s="104"/>
      <c r="N184" s="101"/>
      <c r="O184" s="101">
        <v>1</v>
      </c>
      <c r="P184" s="104">
        <f>VLOOKUP($B184,ma!$A:$C,3,0)</f>
        <v>300000</v>
      </c>
      <c r="Q184" s="108">
        <v>880000</v>
      </c>
      <c r="R184" s="109">
        <v>0.1</v>
      </c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spans="1:27" ht="14">
      <c r="A185" s="116">
        <v>1</v>
      </c>
      <c r="B185" s="117" t="s">
        <v>1612</v>
      </c>
      <c r="C185" s="118" t="s">
        <v>1554</v>
      </c>
      <c r="D185" s="119">
        <v>46181</v>
      </c>
      <c r="E185" s="118" t="str">
        <f>VLOOKUP($C185,xe!$A:$B,2,0)</f>
        <v>50H-63174</v>
      </c>
      <c r="F185" s="120" t="str">
        <f>VLOOKUP($B185,ma!$A:$B,2,0)</f>
        <v>E MART SALA</v>
      </c>
      <c r="G185" s="121" t="s">
        <v>1726</v>
      </c>
      <c r="H185" s="122" t="s">
        <v>1727</v>
      </c>
      <c r="I185" s="123"/>
      <c r="J185" s="105" t="s">
        <v>119</v>
      </c>
      <c r="K185" s="124">
        <v>1.8</v>
      </c>
      <c r="L185" s="125">
        <f t="shared" si="25"/>
        <v>90000</v>
      </c>
      <c r="M185" s="123"/>
      <c r="N185" s="120"/>
      <c r="O185" s="120">
        <v>1</v>
      </c>
      <c r="P185" s="123">
        <f>VLOOKUP($B185,ma!$A:$C,3,0)</f>
        <v>800000</v>
      </c>
      <c r="Q185" s="108">
        <v>880000</v>
      </c>
      <c r="R185" s="109">
        <v>0.1</v>
      </c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 spans="1:27" ht="14">
      <c r="A186" s="97">
        <f t="shared" ref="A186:A225" si="26">A185+1</f>
        <v>2</v>
      </c>
      <c r="B186" s="98" t="s">
        <v>1612</v>
      </c>
      <c r="C186" s="99" t="s">
        <v>1695</v>
      </c>
      <c r="D186" s="100">
        <v>46181</v>
      </c>
      <c r="E186" s="99" t="str">
        <f>VLOOKUP($C186,xe!$A:$B,2,0)</f>
        <v>50H-64316</v>
      </c>
      <c r="F186" s="101" t="str">
        <f>VLOOKUP($B186,ma!$A:$B,2,0)</f>
        <v>E MART SALA</v>
      </c>
      <c r="G186" s="102" t="s">
        <v>1728</v>
      </c>
      <c r="H186" s="103" t="s">
        <v>1727</v>
      </c>
      <c r="I186" s="104"/>
      <c r="J186" s="105" t="s">
        <v>119</v>
      </c>
      <c r="K186" s="106">
        <v>1.8</v>
      </c>
      <c r="L186" s="107">
        <f t="shared" si="25"/>
        <v>90000</v>
      </c>
      <c r="M186" s="104"/>
      <c r="N186" s="101"/>
      <c r="O186" s="101">
        <v>1</v>
      </c>
      <c r="P186" s="104">
        <f>VLOOKUP($B186,ma!$A:$C,3,0)</f>
        <v>800000</v>
      </c>
      <c r="Q186" s="108">
        <v>880000</v>
      </c>
      <c r="R186" s="109">
        <v>0.1</v>
      </c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spans="1:27" ht="14">
      <c r="A187" s="97">
        <f t="shared" si="26"/>
        <v>3</v>
      </c>
      <c r="B187" s="98" t="s">
        <v>1462</v>
      </c>
      <c r="C187" s="99" t="s">
        <v>1570</v>
      </c>
      <c r="D187" s="100">
        <v>46181</v>
      </c>
      <c r="E187" s="99" t="str">
        <f>VLOOKUP($C187,xe!$A:$B,2,0)</f>
        <v>50H-66445</v>
      </c>
      <c r="F187" s="101" t="str">
        <f>VLOOKUP($B187,ma!$A:$B,2,0)</f>
        <v>KFC GÒ VẤP ( K BX )</v>
      </c>
      <c r="G187" s="102" t="s">
        <v>1729</v>
      </c>
      <c r="H187" s="103" t="s">
        <v>1727</v>
      </c>
      <c r="I187" s="104"/>
      <c r="J187" s="105" t="s">
        <v>81</v>
      </c>
      <c r="K187" s="106">
        <v>1.8</v>
      </c>
      <c r="L187" s="113">
        <v>140000</v>
      </c>
      <c r="M187" s="104"/>
      <c r="N187" s="101"/>
      <c r="O187" s="101">
        <v>1</v>
      </c>
      <c r="P187" s="104">
        <f>VLOOKUP($B187,ma!$A:$C,3,0)</f>
        <v>800000</v>
      </c>
      <c r="Q187" s="108">
        <v>880000</v>
      </c>
      <c r="R187" s="109">
        <v>0.1</v>
      </c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 spans="1:27" ht="14">
      <c r="A188" s="97">
        <f t="shared" si="26"/>
        <v>4</v>
      </c>
      <c r="B188" s="98" t="s">
        <v>1462</v>
      </c>
      <c r="C188" s="99" t="s">
        <v>24</v>
      </c>
      <c r="D188" s="100">
        <v>46181</v>
      </c>
      <c r="E188" s="99" t="str">
        <f>VLOOKUP($C188,xe!$A:$B,2,0)</f>
        <v>50H-55161</v>
      </c>
      <c r="F188" s="101" t="str">
        <f>VLOOKUP($B188,ma!$A:$B,2,0)</f>
        <v>KFC GÒ VẤP ( K BX )</v>
      </c>
      <c r="G188" s="102" t="s">
        <v>1730</v>
      </c>
      <c r="H188" s="103" t="s">
        <v>1727</v>
      </c>
      <c r="I188" s="104"/>
      <c r="J188" s="105" t="s">
        <v>81</v>
      </c>
      <c r="K188" s="106">
        <v>1.8</v>
      </c>
      <c r="L188" s="113">
        <v>140000</v>
      </c>
      <c r="M188" s="104"/>
      <c r="N188" s="101"/>
      <c r="O188" s="101">
        <v>1</v>
      </c>
      <c r="P188" s="104">
        <f>VLOOKUP($B188,ma!$A:$C,3,0)</f>
        <v>800000</v>
      </c>
      <c r="Q188" s="108">
        <v>880000</v>
      </c>
      <c r="R188" s="109">
        <v>0.1</v>
      </c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spans="1:27" ht="14">
      <c r="A189" s="97">
        <f t="shared" si="26"/>
        <v>5</v>
      </c>
      <c r="B189" s="98" t="s">
        <v>1462</v>
      </c>
      <c r="C189" s="99" t="s">
        <v>1549</v>
      </c>
      <c r="D189" s="100">
        <v>46181</v>
      </c>
      <c r="E189" s="99" t="str">
        <f>VLOOKUP($C189,xe!$A:$B,2,0)</f>
        <v>50H-55443</v>
      </c>
      <c r="F189" s="101" t="str">
        <f>VLOOKUP($B189,ma!$A:$B,2,0)</f>
        <v>KFC GÒ VẤP ( K BX )</v>
      </c>
      <c r="G189" s="102" t="s">
        <v>1731</v>
      </c>
      <c r="H189" s="103" t="s">
        <v>1727</v>
      </c>
      <c r="I189" s="104"/>
      <c r="J189" s="105" t="s">
        <v>81</v>
      </c>
      <c r="K189" s="106">
        <v>1.8</v>
      </c>
      <c r="L189" s="113">
        <v>140000</v>
      </c>
      <c r="M189" s="104"/>
      <c r="N189" s="101"/>
      <c r="O189" s="101">
        <v>1</v>
      </c>
      <c r="P189" s="104">
        <f>VLOOKUP($B189,ma!$A:$C,3,0)</f>
        <v>800000</v>
      </c>
      <c r="Q189" s="108">
        <v>880000</v>
      </c>
      <c r="R189" s="109">
        <v>0.1</v>
      </c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spans="1:27" ht="14">
      <c r="A190" s="97">
        <f t="shared" si="26"/>
        <v>6</v>
      </c>
      <c r="B190" s="98" t="s">
        <v>1462</v>
      </c>
      <c r="C190" s="99" t="s">
        <v>1698</v>
      </c>
      <c r="D190" s="100">
        <v>46181</v>
      </c>
      <c r="E190" s="99" t="str">
        <f>VLOOKUP($C190,xe!$A:$B,2,0)</f>
        <v>51H -88294</v>
      </c>
      <c r="F190" s="101" t="str">
        <f>VLOOKUP($B190,ma!$A:$B,2,0)</f>
        <v>KFC GÒ VẤP ( K BX )</v>
      </c>
      <c r="G190" s="102" t="s">
        <v>1732</v>
      </c>
      <c r="H190" s="103" t="s">
        <v>1727</v>
      </c>
      <c r="I190" s="104"/>
      <c r="J190" s="105" t="s">
        <v>81</v>
      </c>
      <c r="K190" s="106">
        <v>1.8</v>
      </c>
      <c r="L190" s="113">
        <v>140000</v>
      </c>
      <c r="M190" s="104"/>
      <c r="N190" s="101"/>
      <c r="O190" s="101">
        <v>1</v>
      </c>
      <c r="P190" s="104">
        <f>VLOOKUP($B190,ma!$A:$C,3,0)</f>
        <v>800000</v>
      </c>
      <c r="Q190" s="108">
        <v>880000</v>
      </c>
      <c r="R190" s="109">
        <v>0.1</v>
      </c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spans="1:27" ht="14">
      <c r="A191" s="97">
        <f t="shared" si="26"/>
        <v>7</v>
      </c>
      <c r="B191" s="98" t="s">
        <v>1462</v>
      </c>
      <c r="C191" s="99" t="s">
        <v>10</v>
      </c>
      <c r="D191" s="100">
        <v>46181</v>
      </c>
      <c r="E191" s="99" t="str">
        <f>VLOOKUP($C191,xe!$A:$B,2,0)</f>
        <v>50H-50999</v>
      </c>
      <c r="F191" s="101" t="str">
        <f>VLOOKUP($B191,ma!$A:$B,2,0)</f>
        <v>KFC GÒ VẤP ( K BX )</v>
      </c>
      <c r="G191" s="102" t="s">
        <v>1733</v>
      </c>
      <c r="H191" s="103" t="s">
        <v>1727</v>
      </c>
      <c r="I191" s="104"/>
      <c r="J191" s="105" t="s">
        <v>81</v>
      </c>
      <c r="K191" s="106">
        <v>1.8</v>
      </c>
      <c r="L191" s="113">
        <v>140000</v>
      </c>
      <c r="M191" s="104"/>
      <c r="N191" s="101"/>
      <c r="O191" s="101">
        <v>1</v>
      </c>
      <c r="P191" s="104">
        <f>VLOOKUP($B191,ma!$A:$C,3,0)</f>
        <v>800000</v>
      </c>
      <c r="Q191" s="108">
        <v>880000</v>
      </c>
      <c r="R191" s="109">
        <v>0.1</v>
      </c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spans="1:27" ht="16">
      <c r="A192" s="97">
        <f t="shared" si="26"/>
        <v>8</v>
      </c>
      <c r="B192" s="98" t="s">
        <v>1734</v>
      </c>
      <c r="C192" s="99" t="s">
        <v>56</v>
      </c>
      <c r="D192" s="100">
        <v>46181</v>
      </c>
      <c r="E192" s="99" t="e">
        <f>VLOOKUP($C192,xe!$A:$B,2,0)</f>
        <v>#N/A</v>
      </c>
      <c r="F192" s="101" t="str">
        <f>VLOOKUP($B192,ma!$A:$B,2,0)</f>
        <v>BHX THUẬN AN</v>
      </c>
      <c r="G192" s="102" t="s">
        <v>1735</v>
      </c>
      <c r="H192" s="103" t="s">
        <v>1727</v>
      </c>
      <c r="I192" s="104"/>
      <c r="J192" s="131" t="s">
        <v>1736</v>
      </c>
      <c r="K192" s="106">
        <v>1.4</v>
      </c>
      <c r="L192" s="107">
        <f t="shared" ref="L192:L193" si="27">K192*80000</f>
        <v>112000</v>
      </c>
      <c r="M192" s="104"/>
      <c r="N192" s="101"/>
      <c r="O192" s="101">
        <v>1</v>
      </c>
      <c r="P192" s="104">
        <f>VLOOKUP($B192,ma!$A:$C,3,0)</f>
        <v>900000</v>
      </c>
      <c r="Q192" s="108">
        <v>990000</v>
      </c>
      <c r="R192" s="109">
        <v>0.1</v>
      </c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spans="1:27" ht="14">
      <c r="A193" s="97">
        <f t="shared" si="26"/>
        <v>9</v>
      </c>
      <c r="B193" s="98" t="s">
        <v>1734</v>
      </c>
      <c r="C193" s="99" t="s">
        <v>1582</v>
      </c>
      <c r="D193" s="100">
        <v>46181</v>
      </c>
      <c r="E193" s="99" t="e">
        <f>VLOOKUP($C193,xe!$A:$B,2,0)</f>
        <v>#N/A</v>
      </c>
      <c r="F193" s="101" t="str">
        <f>VLOOKUP($B193,ma!$A:$B,2,0)</f>
        <v>BHX THUẬN AN</v>
      </c>
      <c r="G193" s="102" t="s">
        <v>1737</v>
      </c>
      <c r="H193" s="103" t="s">
        <v>1727</v>
      </c>
      <c r="I193" s="104"/>
      <c r="J193" s="126" t="s">
        <v>1520</v>
      </c>
      <c r="K193" s="106">
        <v>1.4</v>
      </c>
      <c r="L193" s="107">
        <f t="shared" si="27"/>
        <v>112000</v>
      </c>
      <c r="M193" s="104"/>
      <c r="N193" s="101"/>
      <c r="O193" s="101">
        <v>1</v>
      </c>
      <c r="P193" s="104">
        <f>VLOOKUP($B193,ma!$A:$C,3,0)</f>
        <v>900000</v>
      </c>
      <c r="Q193" s="108">
        <v>990000</v>
      </c>
      <c r="R193" s="109">
        <v>0.1</v>
      </c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spans="1:27" ht="14">
      <c r="A194" s="97">
        <f t="shared" si="26"/>
        <v>10</v>
      </c>
      <c r="B194" s="98" t="s">
        <v>1502</v>
      </c>
      <c r="C194" s="99" t="s">
        <v>1561</v>
      </c>
      <c r="D194" s="100">
        <v>46181</v>
      </c>
      <c r="E194" s="99" t="e">
        <f>VLOOKUP($C194,xe!$A:$B,2,0)</f>
        <v>#N/A</v>
      </c>
      <c r="F194" s="101" t="str">
        <f>VLOOKUP($B194,ma!$A:$B,2,0)</f>
        <v>VỊ NGỌT HAPPY ( K BX )</v>
      </c>
      <c r="G194" s="102" t="s">
        <v>1738</v>
      </c>
      <c r="H194" s="103" t="s">
        <v>1739</v>
      </c>
      <c r="I194" s="104"/>
      <c r="J194" s="99"/>
      <c r="K194" s="106">
        <v>1.2</v>
      </c>
      <c r="L194" s="107"/>
      <c r="M194" s="104"/>
      <c r="N194" s="101"/>
      <c r="O194" s="101">
        <v>1</v>
      </c>
      <c r="P194" s="104">
        <f>VLOOKUP($B194,ma!$A:$C,3,0)</f>
        <v>800000</v>
      </c>
      <c r="Q194" s="108">
        <v>880000</v>
      </c>
      <c r="R194" s="109">
        <v>0.1</v>
      </c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spans="1:27" ht="14">
      <c r="A195" s="97">
        <f t="shared" si="26"/>
        <v>11</v>
      </c>
      <c r="B195" s="98" t="s">
        <v>1502</v>
      </c>
      <c r="C195" s="99" t="s">
        <v>62</v>
      </c>
      <c r="D195" s="100">
        <v>46181</v>
      </c>
      <c r="E195" s="114" t="e">
        <f>VLOOKUP($C195,xe!$A:$B,2,0)</f>
        <v>#N/A</v>
      </c>
      <c r="F195" s="101" t="str">
        <f>VLOOKUP($B195,ma!$A:$B,2,0)</f>
        <v>VỊ NGỌT HAPPY ( K BX )</v>
      </c>
      <c r="G195" s="102" t="s">
        <v>1740</v>
      </c>
      <c r="H195" s="103" t="s">
        <v>1739</v>
      </c>
      <c r="I195" s="104"/>
      <c r="J195" s="99"/>
      <c r="K195" s="106">
        <v>1.2</v>
      </c>
      <c r="L195" s="107"/>
      <c r="M195" s="104"/>
      <c r="N195" s="101"/>
      <c r="O195" s="101">
        <v>1</v>
      </c>
      <c r="P195" s="104">
        <f>VLOOKUP($B195,ma!$A:$C,3,0)</f>
        <v>800000</v>
      </c>
      <c r="Q195" s="108">
        <v>880000</v>
      </c>
      <c r="R195" s="109">
        <v>0.1</v>
      </c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spans="1:27" ht="14">
      <c r="A196" s="97">
        <f t="shared" si="26"/>
        <v>12</v>
      </c>
      <c r="B196" s="98" t="s">
        <v>1647</v>
      </c>
      <c r="C196" s="99" t="s">
        <v>1584</v>
      </c>
      <c r="D196" s="100">
        <v>46181</v>
      </c>
      <c r="E196" s="99" t="e">
        <f>VLOOKUP($C196,xe!$A:$B,2,0)</f>
        <v>#N/A</v>
      </c>
      <c r="F196" s="101" t="str">
        <f>VLOOKUP($B196,ma!$A:$B,2,0)</f>
        <v>BHX ( TĐN)</v>
      </c>
      <c r="G196" s="102" t="s">
        <v>1741</v>
      </c>
      <c r="H196" s="103" t="s">
        <v>1727</v>
      </c>
      <c r="I196" s="104"/>
      <c r="J196" s="99"/>
      <c r="K196" s="106">
        <v>2.2000000000000002</v>
      </c>
      <c r="L196" s="107">
        <f>K196*80000</f>
        <v>176000</v>
      </c>
      <c r="M196" s="104"/>
      <c r="N196" s="101"/>
      <c r="O196" s="101">
        <v>1</v>
      </c>
      <c r="P196" s="104">
        <f>VLOOKUP($B196,ma!$A:$C,3,0)</f>
        <v>800000</v>
      </c>
      <c r="Q196" s="108">
        <v>880000</v>
      </c>
      <c r="R196" s="109">
        <v>0.1</v>
      </c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spans="1:27" ht="14">
      <c r="A197" s="97">
        <f t="shared" si="26"/>
        <v>13</v>
      </c>
      <c r="B197" s="98" t="s">
        <v>1710</v>
      </c>
      <c r="C197" s="99" t="s">
        <v>54</v>
      </c>
      <c r="D197" s="100">
        <v>46181</v>
      </c>
      <c r="E197" s="99" t="e">
        <f>VLOOKUP($C197,xe!$A:$B,2,0)</f>
        <v>#N/A</v>
      </c>
      <c r="F197" s="101" t="str">
        <f>VLOOKUP($B197,ma!$A:$B,2,0)</f>
        <v>M. BÌNH PHÚ</v>
      </c>
      <c r="G197" s="102" t="s">
        <v>1742</v>
      </c>
      <c r="H197" s="103" t="s">
        <v>1727</v>
      </c>
      <c r="I197" s="104"/>
      <c r="J197" s="99"/>
      <c r="K197" s="106">
        <v>1.8</v>
      </c>
      <c r="L197" s="107">
        <f t="shared" ref="L197:L199" si="28">K197*50000</f>
        <v>90000</v>
      </c>
      <c r="M197" s="104"/>
      <c r="N197" s="101"/>
      <c r="O197" s="101">
        <v>1</v>
      </c>
      <c r="P197" s="104">
        <f>VLOOKUP($B197,ma!$A:$C,3,0)</f>
        <v>800000</v>
      </c>
      <c r="Q197" s="108">
        <v>880000</v>
      </c>
      <c r="R197" s="109">
        <v>0.1</v>
      </c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spans="1:27" ht="14">
      <c r="A198" s="97">
        <f t="shared" si="26"/>
        <v>14</v>
      </c>
      <c r="B198" s="98" t="s">
        <v>1710</v>
      </c>
      <c r="C198" s="99" t="s">
        <v>55</v>
      </c>
      <c r="D198" s="100">
        <v>46181</v>
      </c>
      <c r="E198" s="99" t="e">
        <f>VLOOKUP($C198,xe!$A:$B,2,0)</f>
        <v>#N/A</v>
      </c>
      <c r="F198" s="101" t="str">
        <f>VLOOKUP($B198,ma!$A:$B,2,0)</f>
        <v>M. BÌNH PHÚ</v>
      </c>
      <c r="G198" s="102" t="s">
        <v>1743</v>
      </c>
      <c r="H198" s="103" t="s">
        <v>1727</v>
      </c>
      <c r="I198" s="104"/>
      <c r="J198" s="99"/>
      <c r="K198" s="106">
        <v>1.8</v>
      </c>
      <c r="L198" s="107">
        <f t="shared" si="28"/>
        <v>90000</v>
      </c>
      <c r="M198" s="104"/>
      <c r="N198" s="101"/>
      <c r="O198" s="101">
        <v>1</v>
      </c>
      <c r="P198" s="104">
        <f>VLOOKUP($B198,ma!$A:$C,3,0)</f>
        <v>800000</v>
      </c>
      <c r="Q198" s="108">
        <v>880000</v>
      </c>
      <c r="R198" s="109">
        <v>0.1</v>
      </c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spans="1:27" ht="14">
      <c r="A199" s="97">
        <f t="shared" si="26"/>
        <v>15</v>
      </c>
      <c r="B199" s="98" t="s">
        <v>1710</v>
      </c>
      <c r="C199" s="99" t="s">
        <v>1668</v>
      </c>
      <c r="D199" s="100">
        <v>46181</v>
      </c>
      <c r="E199" s="99" t="e">
        <f>VLOOKUP($C199,xe!$A:$B,2,0)</f>
        <v>#N/A</v>
      </c>
      <c r="F199" s="101" t="str">
        <f>VLOOKUP($B199,ma!$A:$B,2,0)</f>
        <v>M. BÌNH PHÚ</v>
      </c>
      <c r="G199" s="102" t="s">
        <v>1744</v>
      </c>
      <c r="H199" s="103" t="s">
        <v>1727</v>
      </c>
      <c r="I199" s="104"/>
      <c r="J199" s="99"/>
      <c r="K199" s="106"/>
      <c r="L199" s="107">
        <f t="shared" si="28"/>
        <v>0</v>
      </c>
      <c r="M199" s="104"/>
      <c r="N199" s="101"/>
      <c r="O199" s="101">
        <v>1</v>
      </c>
      <c r="P199" s="104">
        <f>VLOOKUP($B199,ma!$A:$C,3,0)</f>
        <v>800000</v>
      </c>
      <c r="Q199" s="108">
        <v>880000</v>
      </c>
      <c r="R199" s="109">
        <v>0.1</v>
      </c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spans="1:27" ht="14">
      <c r="A200" s="97">
        <f t="shared" si="26"/>
        <v>16</v>
      </c>
      <c r="B200" s="98" t="s">
        <v>1468</v>
      </c>
      <c r="C200" s="99" t="s">
        <v>1488</v>
      </c>
      <c r="D200" s="100">
        <v>46181</v>
      </c>
      <c r="E200" s="99" t="e">
        <f>VLOOKUP($C200,xe!$A:$B,2,0)</f>
        <v>#N/A</v>
      </c>
      <c r="F200" s="101" t="str">
        <f>VLOOKUP($B200,ma!$A:$B,2,0)</f>
        <v>ANFOOD Q12 ( K BX )</v>
      </c>
      <c r="G200" s="102" t="s">
        <v>1745</v>
      </c>
      <c r="H200" s="103" t="s">
        <v>1727</v>
      </c>
      <c r="I200" s="104"/>
      <c r="J200" s="99"/>
      <c r="K200" s="106">
        <v>2</v>
      </c>
      <c r="L200" s="107"/>
      <c r="M200" s="104"/>
      <c r="N200" s="101"/>
      <c r="O200" s="101">
        <v>1</v>
      </c>
      <c r="P200" s="104">
        <f>VLOOKUP($B200,ma!$A:$C,3,0)</f>
        <v>800000</v>
      </c>
      <c r="Q200" s="108">
        <v>880000</v>
      </c>
      <c r="R200" s="109">
        <v>0.1</v>
      </c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spans="1:27" ht="14">
      <c r="A201" s="97">
        <f t="shared" si="26"/>
        <v>17</v>
      </c>
      <c r="B201" s="98" t="s">
        <v>1468</v>
      </c>
      <c r="C201" s="99" t="s">
        <v>64</v>
      </c>
      <c r="D201" s="100">
        <v>46181</v>
      </c>
      <c r="E201" s="99" t="e">
        <f>VLOOKUP($C201,xe!$A:$B,2,0)</f>
        <v>#N/A</v>
      </c>
      <c r="F201" s="101" t="str">
        <f>VLOOKUP($B201,ma!$A:$B,2,0)</f>
        <v>ANFOOD Q12 ( K BX )</v>
      </c>
      <c r="G201" s="102" t="s">
        <v>1746</v>
      </c>
      <c r="H201" s="103" t="s">
        <v>1727</v>
      </c>
      <c r="I201" s="104"/>
      <c r="J201" s="99"/>
      <c r="K201" s="106">
        <v>2</v>
      </c>
      <c r="L201" s="107"/>
      <c r="M201" s="104"/>
      <c r="N201" s="101"/>
      <c r="O201" s="101">
        <v>1</v>
      </c>
      <c r="P201" s="104">
        <f>VLOOKUP($B201,ma!$A:$C,3,0)</f>
        <v>800000</v>
      </c>
      <c r="Q201" s="108">
        <v>880000</v>
      </c>
      <c r="R201" s="109">
        <v>0.1</v>
      </c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spans="1:27" ht="14">
      <c r="A202" s="97">
        <f t="shared" si="26"/>
        <v>18</v>
      </c>
      <c r="B202" s="98" t="s">
        <v>1494</v>
      </c>
      <c r="C202" s="99" t="s">
        <v>1505</v>
      </c>
      <c r="D202" s="100">
        <v>46181</v>
      </c>
      <c r="E202" s="99" t="str">
        <f>VLOOKUP($C202,xe!$A:$B,2,0)</f>
        <v>50H 87442</v>
      </c>
      <c r="F202" s="101" t="str">
        <f>VLOOKUP($B202,ma!$A:$B,2,0)</f>
        <v>HỒNG Á ( K BX )</v>
      </c>
      <c r="G202" s="102" t="s">
        <v>1747</v>
      </c>
      <c r="H202" s="103" t="s">
        <v>1727</v>
      </c>
      <c r="I202" s="104"/>
      <c r="J202" s="99"/>
      <c r="K202" s="106">
        <v>1</v>
      </c>
      <c r="L202" s="107">
        <v>50000</v>
      </c>
      <c r="M202" s="104">
        <v>80000</v>
      </c>
      <c r="N202" s="101" t="s">
        <v>1683</v>
      </c>
      <c r="O202" s="101">
        <v>1</v>
      </c>
      <c r="P202" s="104">
        <f>VLOOKUP($B202,ma!$A:$C,3,0)</f>
        <v>800000</v>
      </c>
      <c r="Q202" s="108">
        <v>880000</v>
      </c>
      <c r="R202" s="109">
        <v>0.1</v>
      </c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spans="1:27" ht="14">
      <c r="A203" s="97">
        <f t="shared" si="26"/>
        <v>19</v>
      </c>
      <c r="B203" s="98" t="s">
        <v>1748</v>
      </c>
      <c r="C203" s="99" t="s">
        <v>1565</v>
      </c>
      <c r="D203" s="100">
        <v>46181</v>
      </c>
      <c r="E203" s="99" t="str">
        <f>VLOOKUP($C203,xe!$A:$B,2,0)</f>
        <v>50H-55116</v>
      </c>
      <c r="F203" s="101" t="str">
        <f>VLOOKUP($B203,ma!$A:$B,2,0)</f>
        <v>SATRA FOOD</v>
      </c>
      <c r="G203" s="102" t="s">
        <v>1749</v>
      </c>
      <c r="H203" s="103" t="s">
        <v>1727</v>
      </c>
      <c r="I203" s="104"/>
      <c r="J203" s="99"/>
      <c r="K203" s="106">
        <v>1.4</v>
      </c>
      <c r="L203" s="107">
        <f t="shared" ref="L203:L204" si="29">K203*50000</f>
        <v>70000</v>
      </c>
      <c r="M203" s="104"/>
      <c r="N203" s="101"/>
      <c r="O203" s="101">
        <v>1</v>
      </c>
      <c r="P203" s="104">
        <f>VLOOKUP($B203,ma!$A:$C,3,0)</f>
        <v>800000</v>
      </c>
      <c r="Q203" s="108">
        <v>880000</v>
      </c>
      <c r="R203" s="109">
        <v>0.1</v>
      </c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spans="1:27" ht="14">
      <c r="A204" s="97">
        <f t="shared" si="26"/>
        <v>20</v>
      </c>
      <c r="B204" s="98" t="s">
        <v>1750</v>
      </c>
      <c r="C204" s="99" t="s">
        <v>1572</v>
      </c>
      <c r="D204" s="100">
        <v>46181</v>
      </c>
      <c r="E204" s="99" t="str">
        <f>VLOOKUP($C204,xe!$A:$B,2,0)</f>
        <v>50H-69501</v>
      </c>
      <c r="F204" s="101" t="str">
        <f>VLOOKUP($B204,ma!$A:$B,2,0)</f>
        <v>NDA</v>
      </c>
      <c r="G204" s="102" t="s">
        <v>1751</v>
      </c>
      <c r="H204" s="103" t="s">
        <v>1727</v>
      </c>
      <c r="I204" s="104"/>
      <c r="J204" s="99"/>
      <c r="K204" s="106">
        <v>1.2</v>
      </c>
      <c r="L204" s="107">
        <f t="shared" si="29"/>
        <v>60000</v>
      </c>
      <c r="M204" s="104"/>
      <c r="N204" s="101"/>
      <c r="O204" s="101">
        <v>1</v>
      </c>
      <c r="P204" s="104">
        <f>VLOOKUP($B204,ma!$A:$C,3,0)</f>
        <v>800000</v>
      </c>
      <c r="Q204" s="108">
        <v>880000</v>
      </c>
      <c r="R204" s="109">
        <v>0.1</v>
      </c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spans="1:27" ht="14">
      <c r="A205" s="97">
        <f t="shared" si="26"/>
        <v>21</v>
      </c>
      <c r="B205" s="98" t="s">
        <v>297</v>
      </c>
      <c r="C205" s="99" t="s">
        <v>1509</v>
      </c>
      <c r="D205" s="100">
        <v>46181</v>
      </c>
      <c r="E205" s="99" t="str">
        <f>VLOOKUP($C205,xe!$A:$B,2,0)</f>
        <v>50H-70216</v>
      </c>
      <c r="F205" s="101" t="str">
        <f>VLOOKUP($B205,ma!$A:$B,2,0)</f>
        <v>BÌNH TÂY</v>
      </c>
      <c r="G205" s="102" t="s">
        <v>1752</v>
      </c>
      <c r="H205" s="103" t="s">
        <v>1727</v>
      </c>
      <c r="I205" s="104"/>
      <c r="J205" s="99"/>
      <c r="K205" s="106">
        <v>2.2000000000000002</v>
      </c>
      <c r="L205" s="107">
        <v>50000</v>
      </c>
      <c r="M205" s="104"/>
      <c r="N205" s="101"/>
      <c r="O205" s="101">
        <v>1</v>
      </c>
      <c r="P205" s="104">
        <f>VLOOKUP($B205,ma!$A:$C,3,0)</f>
        <v>220000</v>
      </c>
      <c r="Q205" s="108">
        <v>880000</v>
      </c>
      <c r="R205" s="109">
        <v>0.1</v>
      </c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spans="1:27" ht="14">
      <c r="A206" s="97">
        <f t="shared" si="26"/>
        <v>22</v>
      </c>
      <c r="B206" s="98" t="s">
        <v>1753</v>
      </c>
      <c r="C206" s="99" t="s">
        <v>28</v>
      </c>
      <c r="D206" s="100">
        <v>46181</v>
      </c>
      <c r="E206" s="99" t="str">
        <f>VLOOKUP($C206,xe!$A:$B,2,0)</f>
        <v>50H-54580</v>
      </c>
      <c r="F206" s="101" t="str">
        <f>VLOOKUP($B206,ma!$A:$B,2,0)</f>
        <v>PHẠM NGUYÊN L.AN</v>
      </c>
      <c r="G206" s="102" t="s">
        <v>1754</v>
      </c>
      <c r="H206" s="103" t="s">
        <v>1727</v>
      </c>
      <c r="I206" s="104"/>
      <c r="J206" s="99"/>
      <c r="K206" s="106">
        <v>1.6</v>
      </c>
      <c r="L206" s="107">
        <f t="shared" ref="L206:L209" si="30">K206*50000</f>
        <v>80000</v>
      </c>
      <c r="M206" s="104"/>
      <c r="N206" s="101"/>
      <c r="O206" s="101">
        <v>1</v>
      </c>
      <c r="P206" s="104">
        <f>VLOOKUP($B206,ma!$A:$C,3,0)</f>
        <v>900000</v>
      </c>
      <c r="Q206" s="108">
        <v>990000</v>
      </c>
      <c r="R206" s="109">
        <v>0.1</v>
      </c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spans="1:27" ht="14">
      <c r="A207" s="97">
        <f t="shared" si="26"/>
        <v>23</v>
      </c>
      <c r="B207" s="98" t="s">
        <v>1755</v>
      </c>
      <c r="C207" s="99" t="s">
        <v>1717</v>
      </c>
      <c r="D207" s="100">
        <v>46181</v>
      </c>
      <c r="E207" s="99" t="str">
        <f>VLOOKUP($C207,xe!$A:$B,2,0)</f>
        <v>50E-164,61</v>
      </c>
      <c r="F207" s="101" t="str">
        <f>VLOOKUP($B207,ma!$A:$B,2,0)</f>
        <v>PHẠM NGUYÊN B.TÂN</v>
      </c>
      <c r="G207" s="102" t="s">
        <v>1756</v>
      </c>
      <c r="H207" s="103" t="s">
        <v>1727</v>
      </c>
      <c r="I207" s="104"/>
      <c r="J207" s="99"/>
      <c r="K207" s="106">
        <v>2</v>
      </c>
      <c r="L207" s="107">
        <f t="shared" si="30"/>
        <v>100000</v>
      </c>
      <c r="M207" s="104"/>
      <c r="N207" s="101"/>
      <c r="O207" s="101">
        <v>1</v>
      </c>
      <c r="P207" s="104">
        <f>VLOOKUP($B207,ma!$A:$C,3,0)</f>
        <v>800000</v>
      </c>
      <c r="Q207" s="108">
        <v>880000</v>
      </c>
      <c r="R207" s="109">
        <v>0.1</v>
      </c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spans="1:27" ht="14">
      <c r="A208" s="97">
        <f t="shared" si="26"/>
        <v>24</v>
      </c>
      <c r="B208" s="98" t="s">
        <v>1757</v>
      </c>
      <c r="C208" s="99" t="s">
        <v>1680</v>
      </c>
      <c r="D208" s="100">
        <v>46181</v>
      </c>
      <c r="E208" s="99" t="str">
        <f>VLOOKUP($C208,xe!$A:$B,2,0)</f>
        <v>50H-69501</v>
      </c>
      <c r="F208" s="101" t="str">
        <f>VLOOKUP($B208,ma!$A:$B,2,0)</f>
        <v>DUY LINH</v>
      </c>
      <c r="G208" s="102" t="s">
        <v>1758</v>
      </c>
      <c r="H208" s="103" t="s">
        <v>1727</v>
      </c>
      <c r="I208" s="104"/>
      <c r="J208" s="99"/>
      <c r="K208" s="106">
        <v>2.2000000000000002</v>
      </c>
      <c r="L208" s="107">
        <f t="shared" si="30"/>
        <v>110000.00000000001</v>
      </c>
      <c r="M208" s="104"/>
      <c r="N208" s="101"/>
      <c r="O208" s="101">
        <v>1</v>
      </c>
      <c r="P208" s="104">
        <f>VLOOKUP($B208,ma!$A:$C,3,0)</f>
        <v>800000</v>
      </c>
      <c r="Q208" s="108">
        <v>880000</v>
      </c>
      <c r="R208" s="109">
        <v>0.1</v>
      </c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spans="1:27" ht="14">
      <c r="A209" s="97">
        <f t="shared" si="26"/>
        <v>25</v>
      </c>
      <c r="B209" s="98" t="s">
        <v>1497</v>
      </c>
      <c r="C209" s="99" t="s">
        <v>24</v>
      </c>
      <c r="D209" s="100">
        <v>46181</v>
      </c>
      <c r="E209" s="99" t="str">
        <f>VLOOKUP($C209,xe!$A:$B,2,0)</f>
        <v>50H-55161</v>
      </c>
      <c r="F209" s="101" t="str">
        <f>VLOOKUP($B209,ma!$A:$B,2,0)</f>
        <v>VĂN HẬU Q8 ( K BX )</v>
      </c>
      <c r="G209" s="102" t="s">
        <v>1499</v>
      </c>
      <c r="H209" s="103" t="s">
        <v>1499</v>
      </c>
      <c r="I209" s="104" t="s">
        <v>1759</v>
      </c>
      <c r="J209" s="105" t="s">
        <v>1760</v>
      </c>
      <c r="K209" s="106">
        <v>2.4</v>
      </c>
      <c r="L209" s="107">
        <f t="shared" si="30"/>
        <v>120000</v>
      </c>
      <c r="M209" s="104"/>
      <c r="N209" s="101"/>
      <c r="O209" s="101">
        <v>1</v>
      </c>
      <c r="P209" s="104">
        <f>VLOOKUP($B209,ma!$A:$C,3,0)</f>
        <v>800000</v>
      </c>
      <c r="Q209" s="108">
        <v>880000</v>
      </c>
      <c r="R209" s="109">
        <v>0.1</v>
      </c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spans="1:27" ht="14">
      <c r="A210" s="97">
        <f t="shared" si="26"/>
        <v>26</v>
      </c>
      <c r="B210" s="98" t="s">
        <v>1761</v>
      </c>
      <c r="C210" s="99" t="s">
        <v>1503</v>
      </c>
      <c r="D210" s="100">
        <v>46181</v>
      </c>
      <c r="E210" s="99" t="str">
        <f>VLOOKUP($C210,xe!$A:$B,2,0)</f>
        <v>50E-164,61</v>
      </c>
      <c r="F210" s="101" t="str">
        <f>VLOOKUP($B210,ma!$A:$B,2,0)</f>
        <v>VĂN HẬU CỦ CHI</v>
      </c>
      <c r="G210" s="102" t="s">
        <v>1499</v>
      </c>
      <c r="H210" s="103" t="s">
        <v>1499</v>
      </c>
      <c r="I210" s="104"/>
      <c r="J210" s="99"/>
      <c r="K210" s="106">
        <v>1.6</v>
      </c>
      <c r="L210" s="107">
        <f>K210*100000</f>
        <v>160000</v>
      </c>
      <c r="M210" s="104"/>
      <c r="N210" s="101"/>
      <c r="O210" s="101">
        <v>1</v>
      </c>
      <c r="P210" s="104">
        <f>VLOOKUP($B210,ma!$A:$C,3,0)</f>
        <v>900000</v>
      </c>
      <c r="Q210" s="108">
        <v>990000</v>
      </c>
      <c r="R210" s="109">
        <v>0.1</v>
      </c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spans="1:27" ht="14">
      <c r="A211" s="97">
        <f t="shared" si="26"/>
        <v>27</v>
      </c>
      <c r="B211" s="98" t="s">
        <v>1762</v>
      </c>
      <c r="C211" s="99" t="s">
        <v>1505</v>
      </c>
      <c r="D211" s="100">
        <v>46181</v>
      </c>
      <c r="E211" s="99" t="str">
        <f>VLOOKUP($C211,xe!$A:$B,2,0)</f>
        <v>50H 87442</v>
      </c>
      <c r="F211" s="101" t="str">
        <f>VLOOKUP($B211,ma!$A:$B,2,0)</f>
        <v>3KS CẨM HƯƠNG ( K BX )</v>
      </c>
      <c r="G211" s="102" t="s">
        <v>1499</v>
      </c>
      <c r="H211" s="103" t="s">
        <v>1499</v>
      </c>
      <c r="I211" s="104"/>
      <c r="J211" s="99"/>
      <c r="K211" s="106">
        <v>2.2000000000000002</v>
      </c>
      <c r="L211" s="107">
        <v>50000</v>
      </c>
      <c r="M211" s="104"/>
      <c r="N211" s="101"/>
      <c r="O211" s="101">
        <v>1</v>
      </c>
      <c r="P211" s="104">
        <f>VLOOKUP($B211,ma!$A:$C,3,0)</f>
        <v>900000</v>
      </c>
      <c r="Q211" s="108">
        <v>990000</v>
      </c>
      <c r="R211" s="109">
        <v>0.1</v>
      </c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spans="1:27" ht="14">
      <c r="A212" s="97">
        <f t="shared" si="26"/>
        <v>28</v>
      </c>
      <c r="B212" s="98" t="s">
        <v>1762</v>
      </c>
      <c r="C212" s="99" t="s">
        <v>1570</v>
      </c>
      <c r="D212" s="100">
        <v>46181</v>
      </c>
      <c r="E212" s="99" t="str">
        <f>VLOOKUP($C212,xe!$A:$B,2,0)</f>
        <v>50H-66445</v>
      </c>
      <c r="F212" s="101" t="str">
        <f>VLOOKUP($B212,ma!$A:$B,2,0)</f>
        <v>3KS CẨM HƯƠNG ( K BX )</v>
      </c>
      <c r="G212" s="102" t="s">
        <v>1499</v>
      </c>
      <c r="H212" s="103" t="s">
        <v>1499</v>
      </c>
      <c r="I212" s="104"/>
      <c r="J212" s="99"/>
      <c r="K212" s="106">
        <v>2.2000000000000002</v>
      </c>
      <c r="L212" s="107">
        <v>50000</v>
      </c>
      <c r="M212" s="104"/>
      <c r="N212" s="101"/>
      <c r="O212" s="101">
        <v>1</v>
      </c>
      <c r="P212" s="104">
        <f>VLOOKUP($B212,ma!$A:$C,3,0)</f>
        <v>900000</v>
      </c>
      <c r="Q212" s="108">
        <v>990000</v>
      </c>
      <c r="R212" s="109">
        <v>0.1</v>
      </c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spans="1:27" ht="14">
      <c r="A213" s="97">
        <f t="shared" si="26"/>
        <v>29</v>
      </c>
      <c r="B213" s="98" t="s">
        <v>309</v>
      </c>
      <c r="C213" s="99" t="s">
        <v>1565</v>
      </c>
      <c r="D213" s="100">
        <v>46181</v>
      </c>
      <c r="E213" s="99" t="str">
        <f>VLOOKUP($C213,xe!$A:$B,2,0)</f>
        <v>50H-55116</v>
      </c>
      <c r="F213" s="101" t="str">
        <f>VLOOKUP($B213,ma!$A:$B,2,0)</f>
        <v>BÁNH VÀNG HIỆP PHƯỚC</v>
      </c>
      <c r="G213" s="102" t="s">
        <v>1763</v>
      </c>
      <c r="H213" s="103" t="s">
        <v>1739</v>
      </c>
      <c r="I213" s="104"/>
      <c r="J213" s="99"/>
      <c r="K213" s="106">
        <v>1.6</v>
      </c>
      <c r="L213" s="107">
        <f t="shared" ref="L213:L215" si="31">K213*50000</f>
        <v>80000</v>
      </c>
      <c r="M213" s="104"/>
      <c r="N213" s="101"/>
      <c r="O213" s="101">
        <v>1</v>
      </c>
      <c r="P213" s="104">
        <f>VLOOKUP($B213,ma!$A:$C,3,0)</f>
        <v>400000</v>
      </c>
      <c r="Q213" s="108">
        <v>440000</v>
      </c>
      <c r="R213" s="109">
        <v>0.1</v>
      </c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spans="1:27" ht="14">
      <c r="A214" s="97">
        <f t="shared" si="26"/>
        <v>30</v>
      </c>
      <c r="B214" s="98" t="s">
        <v>309</v>
      </c>
      <c r="C214" s="99" t="s">
        <v>10</v>
      </c>
      <c r="D214" s="100">
        <v>46181</v>
      </c>
      <c r="E214" s="99" t="str">
        <f>VLOOKUP($C214,xe!$A:$B,2,0)</f>
        <v>50H-50999</v>
      </c>
      <c r="F214" s="101" t="str">
        <f>VLOOKUP($B214,ma!$A:$B,2,0)</f>
        <v>BÁNH VÀNG HIỆP PHƯỚC</v>
      </c>
      <c r="G214" s="102" t="s">
        <v>1764</v>
      </c>
      <c r="H214" s="103" t="s">
        <v>1739</v>
      </c>
      <c r="I214" s="104"/>
      <c r="J214" s="99"/>
      <c r="K214" s="106">
        <v>1.6</v>
      </c>
      <c r="L214" s="107">
        <f t="shared" si="31"/>
        <v>80000</v>
      </c>
      <c r="M214" s="104"/>
      <c r="N214" s="101"/>
      <c r="O214" s="101">
        <v>1</v>
      </c>
      <c r="P214" s="104">
        <f>VLOOKUP($B214,ma!$A:$C,3,0)</f>
        <v>400000</v>
      </c>
      <c r="Q214" s="108">
        <v>440000</v>
      </c>
      <c r="R214" s="109">
        <v>0.1</v>
      </c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spans="1:27" ht="14">
      <c r="A215" s="97">
        <f t="shared" si="26"/>
        <v>31</v>
      </c>
      <c r="B215" s="98" t="s">
        <v>1765</v>
      </c>
      <c r="C215" s="99" t="s">
        <v>28</v>
      </c>
      <c r="D215" s="100">
        <v>46181</v>
      </c>
      <c r="E215" s="99" t="str">
        <f>VLOOKUP($C215,xe!$A:$B,2,0)</f>
        <v>50H-54580</v>
      </c>
      <c r="F215" s="101" t="str">
        <f>VLOOKUP($B215,ma!$A:$B,2,0)</f>
        <v>NDFC - NAIC BẾN LỨC XE NHỎ</v>
      </c>
      <c r="G215" s="102" t="s">
        <v>1766</v>
      </c>
      <c r="H215" s="103" t="s">
        <v>1727</v>
      </c>
      <c r="I215" s="104"/>
      <c r="J215" s="105" t="s">
        <v>465</v>
      </c>
      <c r="K215" s="106">
        <v>2</v>
      </c>
      <c r="L215" s="107">
        <f t="shared" si="31"/>
        <v>100000</v>
      </c>
      <c r="M215" s="104"/>
      <c r="N215" s="101"/>
      <c r="O215" s="101">
        <v>1</v>
      </c>
      <c r="P215" s="104">
        <f>VLOOKUP($B215,ma!$A:$C,3,0)</f>
        <v>900000</v>
      </c>
      <c r="Q215" s="108">
        <v>990000</v>
      </c>
      <c r="R215" s="109">
        <v>0.1</v>
      </c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spans="1:27" ht="14">
      <c r="A216" s="97">
        <f t="shared" si="26"/>
        <v>32</v>
      </c>
      <c r="B216" s="98" t="s">
        <v>1507</v>
      </c>
      <c r="C216" s="99" t="s">
        <v>62</v>
      </c>
      <c r="D216" s="100">
        <v>46181</v>
      </c>
      <c r="E216" s="114" t="e">
        <f>VLOOKUP($C216,xe!$A:$B,2,0)</f>
        <v>#N/A</v>
      </c>
      <c r="F216" s="101" t="str">
        <f>VLOOKUP($B216,ma!$A:$B,2,0)</f>
        <v>BHX NHÀ BÈ</v>
      </c>
      <c r="G216" s="102" t="s">
        <v>1767</v>
      </c>
      <c r="H216" s="103" t="s">
        <v>1739</v>
      </c>
      <c r="I216" s="104"/>
      <c r="J216" s="132" t="s">
        <v>1768</v>
      </c>
      <c r="K216" s="106">
        <v>1.6</v>
      </c>
      <c r="L216" s="107">
        <f>K216*80000</f>
        <v>128000</v>
      </c>
      <c r="M216" s="104"/>
      <c r="N216" s="101"/>
      <c r="O216" s="101">
        <v>1</v>
      </c>
      <c r="P216" s="104">
        <f>VLOOKUP($B216,ma!$A:$C,3,0)</f>
        <v>400000</v>
      </c>
      <c r="Q216" s="108">
        <v>440000</v>
      </c>
      <c r="R216" s="109">
        <v>0.1</v>
      </c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spans="1:27" ht="14">
      <c r="A217" s="97">
        <f t="shared" si="26"/>
        <v>33</v>
      </c>
      <c r="B217" s="98" t="s">
        <v>1710</v>
      </c>
      <c r="C217" s="99" t="s">
        <v>1488</v>
      </c>
      <c r="D217" s="100">
        <v>46181</v>
      </c>
      <c r="E217" s="99" t="e">
        <f>VLOOKUP($C217,xe!$A:$B,2,0)</f>
        <v>#N/A</v>
      </c>
      <c r="F217" s="101" t="str">
        <f>VLOOKUP($B217,ma!$A:$B,2,0)</f>
        <v>M. BÌNH PHÚ</v>
      </c>
      <c r="G217" s="102" t="s">
        <v>1523</v>
      </c>
      <c r="H217" s="103" t="s">
        <v>1739</v>
      </c>
      <c r="I217" s="104"/>
      <c r="J217" s="126" t="s">
        <v>1520</v>
      </c>
      <c r="K217" s="106">
        <v>1.6</v>
      </c>
      <c r="L217" s="107">
        <f t="shared" ref="L217:L221" si="32">K217*50000</f>
        <v>80000</v>
      </c>
      <c r="M217" s="104"/>
      <c r="N217" s="101"/>
      <c r="O217" s="101">
        <v>1</v>
      </c>
      <c r="P217" s="104">
        <f>VLOOKUP($B217,ma!$A:$C,3,0)</f>
        <v>800000</v>
      </c>
      <c r="Q217" s="108">
        <v>880000</v>
      </c>
      <c r="R217" s="109">
        <v>0.1</v>
      </c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spans="1:27" ht="14">
      <c r="A218" s="97">
        <f t="shared" si="26"/>
        <v>34</v>
      </c>
      <c r="B218" s="98" t="s">
        <v>1769</v>
      </c>
      <c r="C218" s="99" t="s">
        <v>1561</v>
      </c>
      <c r="D218" s="100">
        <v>46181</v>
      </c>
      <c r="E218" s="99" t="e">
        <f>VLOOKUP($C218,xe!$A:$B,2,0)</f>
        <v>#N/A</v>
      </c>
      <c r="F218" s="101" t="str">
        <f>VLOOKUP($B218,ma!$A:$B,2,0)</f>
        <v>M. AN PHÚ</v>
      </c>
      <c r="G218" s="102" t="s">
        <v>1770</v>
      </c>
      <c r="H218" s="103" t="s">
        <v>1739</v>
      </c>
      <c r="I218" s="104"/>
      <c r="J218" s="126" t="s">
        <v>1520</v>
      </c>
      <c r="K218" s="106">
        <v>1.6</v>
      </c>
      <c r="L218" s="107">
        <f t="shared" si="32"/>
        <v>80000</v>
      </c>
      <c r="M218" s="104"/>
      <c r="N218" s="101"/>
      <c r="O218" s="101">
        <v>1</v>
      </c>
      <c r="P218" s="104">
        <f>VLOOKUP($B218,ma!$A:$C,3,0)</f>
        <v>800000</v>
      </c>
      <c r="Q218" s="108">
        <v>880000</v>
      </c>
      <c r="R218" s="109">
        <v>0.1</v>
      </c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spans="1:27" ht="14">
      <c r="A219" s="97">
        <f t="shared" si="26"/>
        <v>35</v>
      </c>
      <c r="B219" s="98" t="s">
        <v>1769</v>
      </c>
      <c r="C219" s="99" t="s">
        <v>1698</v>
      </c>
      <c r="D219" s="100">
        <v>46181</v>
      </c>
      <c r="E219" s="99" t="str">
        <f>VLOOKUP($C219,xe!$A:$B,2,0)</f>
        <v>51H -88294</v>
      </c>
      <c r="F219" s="101" t="str">
        <f>VLOOKUP($B219,ma!$A:$B,2,0)</f>
        <v>M. AN PHÚ</v>
      </c>
      <c r="G219" s="102" t="s">
        <v>1523</v>
      </c>
      <c r="H219" s="103" t="s">
        <v>1739</v>
      </c>
      <c r="I219" s="104"/>
      <c r="J219" s="126" t="s">
        <v>1520</v>
      </c>
      <c r="K219" s="106">
        <v>1.6</v>
      </c>
      <c r="L219" s="107">
        <f t="shared" si="32"/>
        <v>80000</v>
      </c>
      <c r="M219" s="104"/>
      <c r="N219" s="101"/>
      <c r="O219" s="101">
        <v>1</v>
      </c>
      <c r="P219" s="104">
        <f>VLOOKUP($B219,ma!$A:$C,3,0)</f>
        <v>800000</v>
      </c>
      <c r="Q219" s="108">
        <v>880000</v>
      </c>
      <c r="R219" s="109">
        <v>0.1</v>
      </c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spans="1:27" ht="14">
      <c r="A220" s="97">
        <f t="shared" si="26"/>
        <v>36</v>
      </c>
      <c r="B220" s="98" t="s">
        <v>1645</v>
      </c>
      <c r="C220" s="99" t="s">
        <v>62</v>
      </c>
      <c r="D220" s="100">
        <v>46181</v>
      </c>
      <c r="E220" s="114" t="e">
        <f>VLOOKUP($C220,xe!$A:$B,2,0)</f>
        <v>#N/A</v>
      </c>
      <c r="F220" s="101" t="str">
        <f>VLOOKUP($B220,ma!$A:$B,2,0)</f>
        <v>AEON RDC Q12</v>
      </c>
      <c r="G220" s="102" t="s">
        <v>1771</v>
      </c>
      <c r="H220" s="103" t="s">
        <v>1739</v>
      </c>
      <c r="I220" s="104"/>
      <c r="J220" s="105" t="s">
        <v>119</v>
      </c>
      <c r="K220" s="106">
        <v>1.4</v>
      </c>
      <c r="L220" s="107">
        <f t="shared" si="32"/>
        <v>70000</v>
      </c>
      <c r="M220" s="104"/>
      <c r="N220" s="101"/>
      <c r="O220" s="101">
        <v>1</v>
      </c>
      <c r="P220" s="104">
        <f>VLOOKUP($B220,ma!$A:$C,3,0)</f>
        <v>800000</v>
      </c>
      <c r="Q220" s="108">
        <v>880000</v>
      </c>
      <c r="R220" s="109">
        <v>0.1</v>
      </c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 spans="1:27" ht="14">
      <c r="A221" s="97">
        <f t="shared" si="26"/>
        <v>37</v>
      </c>
      <c r="B221" s="98" t="s">
        <v>1645</v>
      </c>
      <c r="C221" s="99" t="s">
        <v>24</v>
      </c>
      <c r="D221" s="100">
        <v>46181</v>
      </c>
      <c r="E221" s="99" t="str">
        <f>VLOOKUP($C221,xe!$A:$B,2,0)</f>
        <v>50H-55161</v>
      </c>
      <c r="F221" s="101" t="str">
        <f>VLOOKUP($B221,ma!$A:$B,2,0)</f>
        <v>AEON RDC Q12</v>
      </c>
      <c r="G221" s="102" t="s">
        <v>1772</v>
      </c>
      <c r="H221" s="103" t="s">
        <v>1739</v>
      </c>
      <c r="I221" s="104"/>
      <c r="J221" s="105" t="s">
        <v>119</v>
      </c>
      <c r="K221" s="106">
        <v>1.4</v>
      </c>
      <c r="L221" s="107">
        <f t="shared" si="32"/>
        <v>70000</v>
      </c>
      <c r="M221" s="104"/>
      <c r="N221" s="101"/>
      <c r="O221" s="101">
        <v>1</v>
      </c>
      <c r="P221" s="104">
        <f>VLOOKUP($B221,ma!$A:$C,3,0)</f>
        <v>800000</v>
      </c>
      <c r="Q221" s="108">
        <v>880000</v>
      </c>
      <c r="R221" s="109">
        <v>0.1</v>
      </c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spans="1:27" ht="14">
      <c r="A222" s="97">
        <f t="shared" si="26"/>
        <v>38</v>
      </c>
      <c r="B222" s="98" t="s">
        <v>1651</v>
      </c>
      <c r="C222" s="99" t="s">
        <v>26</v>
      </c>
      <c r="D222" s="100">
        <v>46181</v>
      </c>
      <c r="E222" s="99" t="str">
        <f>VLOOKUP($C222,xe!$A:$B,2,0)</f>
        <v>50H-55443</v>
      </c>
      <c r="F222" s="101" t="str">
        <f>VLOOKUP($B222,ma!$A:$B,2,0)</f>
        <v>BHX LONG BÌNH</v>
      </c>
      <c r="G222" s="102" t="s">
        <v>1773</v>
      </c>
      <c r="H222" s="103" t="s">
        <v>1739</v>
      </c>
      <c r="I222" s="104"/>
      <c r="J222" s="99"/>
      <c r="K222" s="106">
        <v>2</v>
      </c>
      <c r="L222" s="113">
        <v>190000</v>
      </c>
      <c r="M222" s="104"/>
      <c r="N222" s="101"/>
      <c r="O222" s="101">
        <v>1</v>
      </c>
      <c r="P222" s="104">
        <f>VLOOKUP($B222,ma!$A:$C,3,0)</f>
        <v>900000</v>
      </c>
      <c r="Q222" s="108">
        <v>990000</v>
      </c>
      <c r="R222" s="109">
        <v>0.1</v>
      </c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spans="1:27" ht="14">
      <c r="A223" s="97">
        <f t="shared" si="26"/>
        <v>39</v>
      </c>
      <c r="B223" s="98" t="s">
        <v>1651</v>
      </c>
      <c r="C223" s="99" t="s">
        <v>1554</v>
      </c>
      <c r="D223" s="100">
        <v>46181</v>
      </c>
      <c r="E223" s="99" t="str">
        <f>VLOOKUP($C223,xe!$A:$B,2,0)</f>
        <v>50H-63174</v>
      </c>
      <c r="F223" s="101" t="str">
        <f>VLOOKUP($B223,ma!$A:$B,2,0)</f>
        <v>BHX LONG BÌNH</v>
      </c>
      <c r="G223" s="102" t="s">
        <v>1774</v>
      </c>
      <c r="H223" s="103" t="s">
        <v>1739</v>
      </c>
      <c r="I223" s="104"/>
      <c r="J223" s="99"/>
      <c r="K223" s="106">
        <v>2.2000000000000002</v>
      </c>
      <c r="L223" s="113">
        <v>200000</v>
      </c>
      <c r="M223" s="104"/>
      <c r="N223" s="101"/>
      <c r="O223" s="101">
        <v>1</v>
      </c>
      <c r="P223" s="104">
        <f>VLOOKUP($B223,ma!$A:$C,3,0)</f>
        <v>900000</v>
      </c>
      <c r="Q223" s="108">
        <v>990000</v>
      </c>
      <c r="R223" s="109">
        <v>0.1</v>
      </c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spans="1:27" ht="14">
      <c r="A224" s="97">
        <f t="shared" si="26"/>
        <v>40</v>
      </c>
      <c r="B224" s="98" t="s">
        <v>1647</v>
      </c>
      <c r="C224" s="99" t="s">
        <v>1695</v>
      </c>
      <c r="D224" s="100">
        <v>46181</v>
      </c>
      <c r="E224" s="99" t="str">
        <f>VLOOKUP($C224,xe!$A:$B,2,0)</f>
        <v>50H-64316</v>
      </c>
      <c r="F224" s="101" t="str">
        <f>VLOOKUP($B224,ma!$A:$B,2,0)</f>
        <v>BHX ( TĐN)</v>
      </c>
      <c r="G224" s="102" t="s">
        <v>1775</v>
      </c>
      <c r="H224" s="103" t="s">
        <v>1739</v>
      </c>
      <c r="I224" s="104"/>
      <c r="J224" s="105" t="s">
        <v>465</v>
      </c>
      <c r="K224" s="106">
        <v>2</v>
      </c>
      <c r="L224" s="113">
        <v>190000</v>
      </c>
      <c r="M224" s="104"/>
      <c r="N224" s="101"/>
      <c r="O224" s="101">
        <v>1</v>
      </c>
      <c r="P224" s="104">
        <f>VLOOKUP($B224,ma!$A:$C,3,0)</f>
        <v>800000</v>
      </c>
      <c r="Q224" s="108">
        <v>880000</v>
      </c>
      <c r="R224" s="109">
        <v>0.1</v>
      </c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spans="1:27" ht="14">
      <c r="A225" s="97">
        <f t="shared" si="26"/>
        <v>41</v>
      </c>
      <c r="B225" s="98" t="s">
        <v>1776</v>
      </c>
      <c r="C225" s="99" t="s">
        <v>1509</v>
      </c>
      <c r="D225" s="100">
        <v>46181</v>
      </c>
      <c r="E225" s="99" t="str">
        <f>VLOOKUP($C225,xe!$A:$B,2,0)</f>
        <v>50H-70216</v>
      </c>
      <c r="F225" s="101" t="str">
        <f>VLOOKUP($B225,ma!$A:$B,2,0)</f>
        <v>NHỰT TÂN</v>
      </c>
      <c r="G225" s="102" t="s">
        <v>1777</v>
      </c>
      <c r="H225" s="103" t="s">
        <v>1727</v>
      </c>
      <c r="I225" s="104"/>
      <c r="J225" s="99"/>
      <c r="K225" s="106">
        <v>2.2000000000000002</v>
      </c>
      <c r="L225" s="107">
        <f t="shared" ref="L225:L229" si="33">K225*50000</f>
        <v>110000.00000000001</v>
      </c>
      <c r="M225" s="104"/>
      <c r="N225" s="101"/>
      <c r="O225" s="101">
        <v>1</v>
      </c>
      <c r="P225" s="104">
        <f>VLOOKUP($B225,ma!$A:$C,3,0)</f>
        <v>900000</v>
      </c>
      <c r="Q225" s="108">
        <v>990000</v>
      </c>
      <c r="R225" s="109">
        <v>0.1</v>
      </c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spans="1:27" ht="14">
      <c r="A226" s="116">
        <v>1</v>
      </c>
      <c r="B226" s="117" t="s">
        <v>1778</v>
      </c>
      <c r="C226" s="118" t="s">
        <v>54</v>
      </c>
      <c r="D226" s="119">
        <v>46182</v>
      </c>
      <c r="E226" s="118" t="e">
        <f>VLOOKUP($C226,xe!$A:$B,2,0)</f>
        <v>#N/A</v>
      </c>
      <c r="F226" s="120" t="str">
        <f>VLOOKUP($B226,ma!$A:$B,2,0)</f>
        <v>AEON TÂN PHÚ</v>
      </c>
      <c r="G226" s="121" t="s">
        <v>1779</v>
      </c>
      <c r="H226" s="122" t="s">
        <v>1780</v>
      </c>
      <c r="I226" s="123"/>
      <c r="J226" s="105" t="s">
        <v>119</v>
      </c>
      <c r="K226" s="124">
        <v>1.8</v>
      </c>
      <c r="L226" s="125">
        <f t="shared" si="33"/>
        <v>90000</v>
      </c>
      <c r="M226" s="123"/>
      <c r="N226" s="120"/>
      <c r="O226" s="120">
        <v>1</v>
      </c>
      <c r="P226" s="123">
        <f>VLOOKUP($B226,ma!$A:$C,3,0)</f>
        <v>800000</v>
      </c>
      <c r="Q226" s="108">
        <v>880000</v>
      </c>
      <c r="R226" s="109">
        <v>0.1</v>
      </c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 spans="1:27" ht="14">
      <c r="A227" s="97">
        <f t="shared" ref="A227:A252" si="34">A226+1</f>
        <v>2</v>
      </c>
      <c r="B227" s="98" t="s">
        <v>1778</v>
      </c>
      <c r="C227" s="99" t="s">
        <v>57</v>
      </c>
      <c r="D227" s="100">
        <v>46182</v>
      </c>
      <c r="E227" s="99" t="e">
        <f>VLOOKUP($C227,xe!$A:$B,2,0)</f>
        <v>#N/A</v>
      </c>
      <c r="F227" s="101" t="str">
        <f>VLOOKUP($B227,ma!$A:$B,2,0)</f>
        <v>AEON TÂN PHÚ</v>
      </c>
      <c r="G227" s="102" t="s">
        <v>1781</v>
      </c>
      <c r="H227" s="103" t="s">
        <v>1780</v>
      </c>
      <c r="I227" s="104"/>
      <c r="J227" s="105" t="s">
        <v>119</v>
      </c>
      <c r="K227" s="106">
        <v>1.8</v>
      </c>
      <c r="L227" s="107">
        <f t="shared" si="33"/>
        <v>90000</v>
      </c>
      <c r="M227" s="104"/>
      <c r="N227" s="101"/>
      <c r="O227" s="101">
        <v>1</v>
      </c>
      <c r="P227" s="104">
        <f>VLOOKUP($B227,ma!$A:$C,3,0)</f>
        <v>800000</v>
      </c>
      <c r="Q227" s="108">
        <v>880000</v>
      </c>
      <c r="R227" s="109">
        <v>0.1</v>
      </c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spans="1:27" ht="14">
      <c r="A228" s="97">
        <f t="shared" si="34"/>
        <v>3</v>
      </c>
      <c r="B228" s="98" t="s">
        <v>1778</v>
      </c>
      <c r="C228" s="99" t="s">
        <v>56</v>
      </c>
      <c r="D228" s="100">
        <v>46182</v>
      </c>
      <c r="E228" s="99" t="e">
        <f>VLOOKUP($C228,xe!$A:$B,2,0)</f>
        <v>#N/A</v>
      </c>
      <c r="F228" s="101" t="str">
        <f>VLOOKUP($B228,ma!$A:$B,2,0)</f>
        <v>AEON TÂN PHÚ</v>
      </c>
      <c r="G228" s="102" t="s">
        <v>1782</v>
      </c>
      <c r="H228" s="103" t="s">
        <v>1780</v>
      </c>
      <c r="I228" s="104"/>
      <c r="J228" s="105" t="s">
        <v>119</v>
      </c>
      <c r="K228" s="106">
        <v>1.8</v>
      </c>
      <c r="L228" s="107">
        <f t="shared" si="33"/>
        <v>90000</v>
      </c>
      <c r="M228" s="104"/>
      <c r="N228" s="101"/>
      <c r="O228" s="101">
        <v>1</v>
      </c>
      <c r="P228" s="104">
        <f>VLOOKUP($B228,ma!$A:$C,3,0)</f>
        <v>800000</v>
      </c>
      <c r="Q228" s="108">
        <v>880000</v>
      </c>
      <c r="R228" s="109">
        <v>0.1</v>
      </c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spans="1:27" ht="14">
      <c r="A229" s="97">
        <f t="shared" si="34"/>
        <v>4</v>
      </c>
      <c r="B229" s="98" t="s">
        <v>1783</v>
      </c>
      <c r="C229" s="99" t="s">
        <v>1538</v>
      </c>
      <c r="D229" s="100">
        <v>46182</v>
      </c>
      <c r="E229" s="99" t="str">
        <f>VLOOKUP($C229,xe!$A:$B,2,0)</f>
        <v>50E-164,61</v>
      </c>
      <c r="F229" s="101" t="str">
        <f>VLOOKUP($B229,ma!$A:$B,2,0)</f>
        <v>BIG C AN LAC</v>
      </c>
      <c r="G229" s="102" t="s">
        <v>1784</v>
      </c>
      <c r="H229" s="103" t="s">
        <v>1739</v>
      </c>
      <c r="I229" s="104"/>
      <c r="J229" s="126" t="s">
        <v>1520</v>
      </c>
      <c r="K229" s="106">
        <v>1.4</v>
      </c>
      <c r="L229" s="107">
        <f t="shared" si="33"/>
        <v>70000</v>
      </c>
      <c r="M229" s="104"/>
      <c r="N229" s="101"/>
      <c r="O229" s="101">
        <v>1</v>
      </c>
      <c r="P229" s="104">
        <f>VLOOKUP($B229,ma!$A:$C,3,0)</f>
        <v>800000</v>
      </c>
      <c r="Q229" s="108">
        <v>880000</v>
      </c>
      <c r="R229" s="109">
        <v>0.1</v>
      </c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spans="1:27" ht="14">
      <c r="A230" s="97">
        <f t="shared" si="34"/>
        <v>5</v>
      </c>
      <c r="B230" s="98" t="s">
        <v>1785</v>
      </c>
      <c r="C230" s="99" t="s">
        <v>1509</v>
      </c>
      <c r="D230" s="100">
        <v>46182</v>
      </c>
      <c r="E230" s="99" t="str">
        <f>VLOOKUP($C230,xe!$A:$B,2,0)</f>
        <v>50H-70216</v>
      </c>
      <c r="F230" s="101" t="str">
        <f>VLOOKUP($B230,ma!$A:$B,2,0)</f>
        <v>INTER PHARMA T.AN ( KBX )</v>
      </c>
      <c r="G230" s="102" t="s">
        <v>1786</v>
      </c>
      <c r="H230" s="103" t="s">
        <v>1704</v>
      </c>
      <c r="I230" s="104"/>
      <c r="J230" s="99"/>
      <c r="K230" s="106">
        <v>2</v>
      </c>
      <c r="L230" s="107">
        <v>50000</v>
      </c>
      <c r="M230" s="104"/>
      <c r="N230" s="101"/>
      <c r="O230" s="101">
        <v>1</v>
      </c>
      <c r="P230" s="104">
        <f>VLOOKUP($B230,ma!$A:$C,3,0)</f>
        <v>900000</v>
      </c>
      <c r="Q230" s="108">
        <v>990000</v>
      </c>
      <c r="R230" s="109">
        <v>0.1</v>
      </c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spans="1:27" ht="14">
      <c r="A231" s="97">
        <f t="shared" si="34"/>
        <v>6</v>
      </c>
      <c r="B231" s="98" t="s">
        <v>1785</v>
      </c>
      <c r="C231" s="99" t="s">
        <v>1680</v>
      </c>
      <c r="D231" s="100">
        <v>46182</v>
      </c>
      <c r="E231" s="99" t="str">
        <f>VLOOKUP($C231,xe!$A:$B,2,0)</f>
        <v>50H-69501</v>
      </c>
      <c r="F231" s="101" t="str">
        <f>VLOOKUP($B231,ma!$A:$B,2,0)</f>
        <v>INTER PHARMA T.AN ( KBX )</v>
      </c>
      <c r="G231" s="102" t="s">
        <v>1787</v>
      </c>
      <c r="H231" s="103" t="s">
        <v>1704</v>
      </c>
      <c r="I231" s="104"/>
      <c r="J231" s="99"/>
      <c r="K231" s="106"/>
      <c r="L231" s="107">
        <v>50000</v>
      </c>
      <c r="M231" s="104"/>
      <c r="N231" s="101"/>
      <c r="O231" s="101">
        <v>1</v>
      </c>
      <c r="P231" s="104">
        <f>VLOOKUP($B231,ma!$A:$C,3,0)</f>
        <v>900000</v>
      </c>
      <c r="Q231" s="108">
        <v>990000</v>
      </c>
      <c r="R231" s="109">
        <v>0.1</v>
      </c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spans="1:27" ht="14">
      <c r="A232" s="97">
        <f t="shared" si="34"/>
        <v>7</v>
      </c>
      <c r="B232" s="98" t="s">
        <v>1182</v>
      </c>
      <c r="C232" s="99" t="s">
        <v>55</v>
      </c>
      <c r="D232" s="100">
        <v>46182</v>
      </c>
      <c r="E232" s="99" t="e">
        <f>VLOOKUP($C232,xe!$A:$B,2,0)</f>
        <v>#N/A</v>
      </c>
      <c r="F232" s="101" t="str">
        <f>VLOOKUP($B232,ma!$A:$B,2,0)</f>
        <v>SATRA VIETTEL</v>
      </c>
      <c r="G232" s="102" t="s">
        <v>1788</v>
      </c>
      <c r="H232" s="103" t="s">
        <v>1739</v>
      </c>
      <c r="I232" s="104"/>
      <c r="J232" s="99"/>
      <c r="K232" s="106">
        <v>1.4</v>
      </c>
      <c r="L232" s="107">
        <f t="shared" ref="L232:L233" si="35">K232*50000</f>
        <v>70000</v>
      </c>
      <c r="M232" s="104"/>
      <c r="N232" s="101"/>
      <c r="O232" s="101">
        <v>1</v>
      </c>
      <c r="P232" s="104">
        <f>VLOOKUP($B232,ma!$A:$C,3,0)</f>
        <v>800000</v>
      </c>
      <c r="Q232" s="108">
        <v>880000</v>
      </c>
      <c r="R232" s="109">
        <v>0.1</v>
      </c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spans="1:27" ht="14">
      <c r="A233" s="97">
        <f t="shared" si="34"/>
        <v>8</v>
      </c>
      <c r="B233" s="98" t="s">
        <v>1487</v>
      </c>
      <c r="C233" s="99" t="s">
        <v>1570</v>
      </c>
      <c r="D233" s="100">
        <v>46182</v>
      </c>
      <c r="E233" s="99" t="str">
        <f>VLOOKUP($C233,xe!$A:$B,2,0)</f>
        <v>50H-66445</v>
      </c>
      <c r="F233" s="101" t="str">
        <f>VLOOKUP($B233,ma!$A:$B,2,0)</f>
        <v>SATRA SÀI GÒN</v>
      </c>
      <c r="G233" s="102" t="s">
        <v>1789</v>
      </c>
      <c r="H233" s="103" t="s">
        <v>1739</v>
      </c>
      <c r="I233" s="104"/>
      <c r="J233" s="99"/>
      <c r="K233" s="106">
        <v>1.2</v>
      </c>
      <c r="L233" s="107">
        <f t="shared" si="35"/>
        <v>60000</v>
      </c>
      <c r="M233" s="104"/>
      <c r="N233" s="101"/>
      <c r="O233" s="101">
        <v>1</v>
      </c>
      <c r="P233" s="104">
        <f>VLOOKUP($B233,ma!$A:$C,3,0)</f>
        <v>800000</v>
      </c>
      <c r="Q233" s="108">
        <v>880000</v>
      </c>
      <c r="R233" s="109">
        <v>0.1</v>
      </c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spans="1:27" ht="14">
      <c r="A234" s="97">
        <f t="shared" si="34"/>
        <v>9</v>
      </c>
      <c r="B234" s="98" t="s">
        <v>1790</v>
      </c>
      <c r="C234" s="99" t="s">
        <v>1505</v>
      </c>
      <c r="D234" s="100">
        <v>46182</v>
      </c>
      <c r="E234" s="99" t="str">
        <f>VLOOKUP($C234,xe!$A:$B,2,0)</f>
        <v>50H 87442</v>
      </c>
      <c r="F234" s="101" t="str">
        <f>VLOOKUP($B234,ma!$A:$B,2,0)</f>
        <v>NGUYỄN VĂN CỪ</v>
      </c>
      <c r="G234" s="102" t="s">
        <v>1791</v>
      </c>
      <c r="H234" s="103" t="s">
        <v>1739</v>
      </c>
      <c r="I234" s="104"/>
      <c r="J234" s="99"/>
      <c r="K234" s="106">
        <v>1</v>
      </c>
      <c r="L234" s="107">
        <f>K234*100000</f>
        <v>100000</v>
      </c>
      <c r="M234" s="104"/>
      <c r="N234" s="101"/>
      <c r="O234" s="101">
        <v>1</v>
      </c>
      <c r="P234" s="104">
        <f>VLOOKUP($B234,ma!$A:$C,3,0)</f>
        <v>800000</v>
      </c>
      <c r="Q234" s="108">
        <v>880000</v>
      </c>
      <c r="R234" s="109">
        <v>0.1</v>
      </c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spans="1:27" ht="14">
      <c r="A235" s="97">
        <f t="shared" si="34"/>
        <v>10</v>
      </c>
      <c r="B235" s="98" t="s">
        <v>1492</v>
      </c>
      <c r="C235" s="99" t="s">
        <v>1576</v>
      </c>
      <c r="D235" s="100">
        <v>46182</v>
      </c>
      <c r="E235" s="99" t="str">
        <f>VLOOKUP($C235,xe!$A:$B,2,0)</f>
        <v>50H-74619</v>
      </c>
      <c r="F235" s="101" t="str">
        <f>VLOOKUP($B235,ma!$A:$B,2,0)</f>
        <v>NGUYỄN TRƯƠNG</v>
      </c>
      <c r="G235" s="102" t="s">
        <v>1792</v>
      </c>
      <c r="H235" s="103" t="s">
        <v>1780</v>
      </c>
      <c r="I235" s="104"/>
      <c r="J235" s="99"/>
      <c r="K235" s="106">
        <v>2.2000000000000002</v>
      </c>
      <c r="L235" s="107">
        <f>K235*50000</f>
        <v>110000.00000000001</v>
      </c>
      <c r="M235" s="104"/>
      <c r="N235" s="101"/>
      <c r="O235" s="101">
        <v>1</v>
      </c>
      <c r="P235" s="104">
        <f>VLOOKUP($B235,ma!$A:$C,3,0)</f>
        <v>800000</v>
      </c>
      <c r="Q235" s="108">
        <v>880000</v>
      </c>
      <c r="R235" s="109">
        <v>0.1</v>
      </c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spans="1:27" ht="14">
      <c r="A236" s="97">
        <f t="shared" si="34"/>
        <v>11</v>
      </c>
      <c r="B236" s="98" t="s">
        <v>1474</v>
      </c>
      <c r="C236" s="99" t="s">
        <v>61</v>
      </c>
      <c r="D236" s="100">
        <v>46182</v>
      </c>
      <c r="E236" s="99" t="e">
        <f>VLOOKUP($C236,xe!$A:$B,2,0)</f>
        <v>#N/A</v>
      </c>
      <c r="F236" s="101" t="str">
        <f>VLOOKUP($B236,ma!$A:$B,2,0)</f>
        <v>TP2 GÒ VẤP</v>
      </c>
      <c r="G236" s="102" t="s">
        <v>1793</v>
      </c>
      <c r="H236" s="103" t="s">
        <v>1739</v>
      </c>
      <c r="I236" s="104"/>
      <c r="J236" s="105" t="s">
        <v>1794</v>
      </c>
      <c r="K236" s="106"/>
      <c r="L236" s="107"/>
      <c r="M236" s="104"/>
      <c r="N236" s="101"/>
      <c r="O236" s="101">
        <v>1</v>
      </c>
      <c r="P236" s="104">
        <f>VLOOKUP($B236,ma!$A:$C,3,0)</f>
        <v>800000</v>
      </c>
      <c r="Q236" s="108">
        <v>880000</v>
      </c>
      <c r="R236" s="109">
        <v>0.1</v>
      </c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spans="1:27" ht="14">
      <c r="A237" s="97">
        <f t="shared" si="34"/>
        <v>12</v>
      </c>
      <c r="B237" s="98" t="s">
        <v>1474</v>
      </c>
      <c r="C237" s="99" t="s">
        <v>1668</v>
      </c>
      <c r="D237" s="100">
        <v>46182</v>
      </c>
      <c r="E237" s="99" t="e">
        <f>VLOOKUP($C237,xe!$A:$B,2,0)</f>
        <v>#N/A</v>
      </c>
      <c r="F237" s="101" t="str">
        <f>VLOOKUP($B237,ma!$A:$B,2,0)</f>
        <v>TP2 GÒ VẤP</v>
      </c>
      <c r="G237" s="102" t="s">
        <v>1795</v>
      </c>
      <c r="H237" s="103" t="s">
        <v>1780</v>
      </c>
      <c r="I237" s="104"/>
      <c r="J237" s="105" t="s">
        <v>1794</v>
      </c>
      <c r="K237" s="106"/>
      <c r="L237" s="107"/>
      <c r="M237" s="104"/>
      <c r="N237" s="101"/>
      <c r="O237" s="101">
        <v>1</v>
      </c>
      <c r="P237" s="104">
        <f>VLOOKUP($B237,ma!$A:$C,3,0)</f>
        <v>800000</v>
      </c>
      <c r="Q237" s="108">
        <v>880000</v>
      </c>
      <c r="R237" s="109">
        <v>0.1</v>
      </c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spans="1:27" ht="14">
      <c r="A238" s="97">
        <f t="shared" si="34"/>
        <v>13</v>
      </c>
      <c r="B238" s="98" t="s">
        <v>1474</v>
      </c>
      <c r="C238" s="99" t="s">
        <v>64</v>
      </c>
      <c r="D238" s="100">
        <v>46182</v>
      </c>
      <c r="E238" s="99" t="e">
        <f>VLOOKUP($C238,xe!$A:$B,2,0)</f>
        <v>#N/A</v>
      </c>
      <c r="F238" s="101" t="str">
        <f>VLOOKUP($B238,ma!$A:$B,2,0)</f>
        <v>TP2 GÒ VẤP</v>
      </c>
      <c r="G238" s="102" t="s">
        <v>1796</v>
      </c>
      <c r="H238" s="103" t="s">
        <v>1739</v>
      </c>
      <c r="I238" s="104"/>
      <c r="J238" s="105" t="s">
        <v>1794</v>
      </c>
      <c r="K238" s="106"/>
      <c r="L238" s="107"/>
      <c r="M238" s="104"/>
      <c r="N238" s="101"/>
      <c r="O238" s="101">
        <v>1</v>
      </c>
      <c r="P238" s="104">
        <f>VLOOKUP($B238,ma!$A:$C,3,0)</f>
        <v>800000</v>
      </c>
      <c r="Q238" s="108">
        <v>880000</v>
      </c>
      <c r="R238" s="109">
        <v>0.1</v>
      </c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spans="1:27" ht="14">
      <c r="A239" s="97">
        <f t="shared" si="34"/>
        <v>14</v>
      </c>
      <c r="B239" s="98" t="s">
        <v>1474</v>
      </c>
      <c r="C239" s="99" t="s">
        <v>1565</v>
      </c>
      <c r="D239" s="100">
        <v>46182</v>
      </c>
      <c r="E239" s="99" t="str">
        <f>VLOOKUP($C239,xe!$A:$B,2,0)</f>
        <v>50H-55116</v>
      </c>
      <c r="F239" s="101" t="str">
        <f>VLOOKUP($B239,ma!$A:$B,2,0)</f>
        <v>TP2 GÒ VẤP</v>
      </c>
      <c r="G239" s="102" t="s">
        <v>1797</v>
      </c>
      <c r="H239" s="103" t="s">
        <v>1739</v>
      </c>
      <c r="I239" s="104"/>
      <c r="J239" s="105" t="s">
        <v>1794</v>
      </c>
      <c r="K239" s="106"/>
      <c r="L239" s="107"/>
      <c r="M239" s="104"/>
      <c r="N239" s="101"/>
      <c r="O239" s="101">
        <v>1</v>
      </c>
      <c r="P239" s="104">
        <f>VLOOKUP($B239,ma!$A:$C,3,0)</f>
        <v>800000</v>
      </c>
      <c r="Q239" s="108">
        <v>880000</v>
      </c>
      <c r="R239" s="109">
        <v>0.1</v>
      </c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spans="1:27" ht="14">
      <c r="A240" s="97">
        <f t="shared" si="34"/>
        <v>15</v>
      </c>
      <c r="B240" s="98" t="s">
        <v>1474</v>
      </c>
      <c r="C240" s="99" t="s">
        <v>10</v>
      </c>
      <c r="D240" s="100">
        <v>46182</v>
      </c>
      <c r="E240" s="99" t="str">
        <f>VLOOKUP($C240,xe!$A:$B,2,0)</f>
        <v>50H-50999</v>
      </c>
      <c r="F240" s="101" t="str">
        <f>VLOOKUP($B240,ma!$A:$B,2,0)</f>
        <v>TP2 GÒ VẤP</v>
      </c>
      <c r="G240" s="102" t="s">
        <v>1798</v>
      </c>
      <c r="H240" s="103" t="s">
        <v>1739</v>
      </c>
      <c r="I240" s="104"/>
      <c r="J240" s="105" t="s">
        <v>1794</v>
      </c>
      <c r="K240" s="106"/>
      <c r="L240" s="107"/>
      <c r="M240" s="104"/>
      <c r="N240" s="101"/>
      <c r="O240" s="101">
        <v>1</v>
      </c>
      <c r="P240" s="104">
        <f>VLOOKUP($B240,ma!$A:$C,3,0)</f>
        <v>800000</v>
      </c>
      <c r="Q240" s="108">
        <v>880000</v>
      </c>
      <c r="R240" s="109">
        <v>0.1</v>
      </c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spans="1:27" ht="14">
      <c r="A241" s="97">
        <f t="shared" si="34"/>
        <v>16</v>
      </c>
      <c r="B241" s="98" t="s">
        <v>1799</v>
      </c>
      <c r="C241" s="99" t="s">
        <v>1695</v>
      </c>
      <c r="D241" s="100">
        <v>46182</v>
      </c>
      <c r="E241" s="99" t="str">
        <f>VLOOKUP($C241,xe!$A:$B,2,0)</f>
        <v>50H-64316</v>
      </c>
      <c r="F241" s="101" t="str">
        <f>VLOOKUP($B241,ma!$A:$B,2,0)</f>
        <v>DƯƠNG DƯƠNG CHÂU</v>
      </c>
      <c r="G241" s="102" t="s">
        <v>1800</v>
      </c>
      <c r="H241" s="103" t="s">
        <v>1739</v>
      </c>
      <c r="I241" s="104"/>
      <c r="J241" s="99"/>
      <c r="K241" s="106">
        <v>2</v>
      </c>
      <c r="L241" s="107">
        <f t="shared" ref="L241:L242" si="36">K241*50000</f>
        <v>100000</v>
      </c>
      <c r="M241" s="104"/>
      <c r="N241" s="101"/>
      <c r="O241" s="101">
        <v>1</v>
      </c>
      <c r="P241" s="104">
        <f>VLOOKUP($B241,ma!$A:$C,3,0)</f>
        <v>800000</v>
      </c>
      <c r="Q241" s="108">
        <v>880000</v>
      </c>
      <c r="R241" s="109">
        <v>0.1</v>
      </c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spans="1:27" ht="14">
      <c r="A242" s="97">
        <f t="shared" si="34"/>
        <v>17</v>
      </c>
      <c r="B242" s="98" t="s">
        <v>1679</v>
      </c>
      <c r="C242" s="99" t="s">
        <v>1561</v>
      </c>
      <c r="D242" s="100">
        <v>46182</v>
      </c>
      <c r="E242" s="99" t="e">
        <f>VLOOKUP($C242,xe!$A:$B,2,0)</f>
        <v>#N/A</v>
      </c>
      <c r="F242" s="101" t="str">
        <f>VLOOKUP($B242,ma!$A:$B,2,0)</f>
        <v>LÊ GIA THỦ ĐỨC</v>
      </c>
      <c r="G242" s="102" t="s">
        <v>1801</v>
      </c>
      <c r="H242" s="103" t="s">
        <v>1739</v>
      </c>
      <c r="I242" s="104"/>
      <c r="J242" s="99"/>
      <c r="K242" s="106">
        <v>1.4</v>
      </c>
      <c r="L242" s="107">
        <f t="shared" si="36"/>
        <v>70000</v>
      </c>
      <c r="M242" s="104"/>
      <c r="N242" s="101"/>
      <c r="O242" s="101">
        <v>1</v>
      </c>
      <c r="P242" s="104">
        <f>VLOOKUP($B242,ma!$A:$C,3,0)</f>
        <v>800000</v>
      </c>
      <c r="Q242" s="108">
        <v>880000</v>
      </c>
      <c r="R242" s="109">
        <v>0.1</v>
      </c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spans="1:27" ht="14">
      <c r="A243" s="97">
        <f t="shared" si="34"/>
        <v>18</v>
      </c>
      <c r="B243" s="98" t="s">
        <v>1502</v>
      </c>
      <c r="C243" s="99" t="s">
        <v>1488</v>
      </c>
      <c r="D243" s="100">
        <v>46182</v>
      </c>
      <c r="E243" s="99" t="e">
        <f>VLOOKUP($C243,xe!$A:$B,2,0)</f>
        <v>#N/A</v>
      </c>
      <c r="F243" s="101" t="str">
        <f>VLOOKUP($B243,ma!$A:$B,2,0)</f>
        <v>VỊ NGỌT HAPPY ( K BX )</v>
      </c>
      <c r="G243" s="102" t="s">
        <v>1802</v>
      </c>
      <c r="H243" s="103" t="s">
        <v>1739</v>
      </c>
      <c r="I243" s="104"/>
      <c r="J243" s="99"/>
      <c r="K243" s="106">
        <v>2.2000000000000002</v>
      </c>
      <c r="L243" s="107"/>
      <c r="M243" s="104"/>
      <c r="N243" s="101"/>
      <c r="O243" s="101">
        <v>1</v>
      </c>
      <c r="P243" s="104">
        <f>VLOOKUP($B243,ma!$A:$C,3,0)</f>
        <v>800000</v>
      </c>
      <c r="Q243" s="108">
        <v>880000</v>
      </c>
      <c r="R243" s="109">
        <v>0.1</v>
      </c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spans="1:27" ht="14">
      <c r="A244" s="97">
        <f t="shared" si="34"/>
        <v>19</v>
      </c>
      <c r="B244" s="98" t="s">
        <v>1502</v>
      </c>
      <c r="C244" s="99" t="s">
        <v>24</v>
      </c>
      <c r="D244" s="100">
        <v>46182</v>
      </c>
      <c r="E244" s="99" t="str">
        <f>VLOOKUP($C244,xe!$A:$B,2,0)</f>
        <v>50H-55161</v>
      </c>
      <c r="F244" s="101" t="str">
        <f>VLOOKUP($B244,ma!$A:$B,2,0)</f>
        <v>VỊ NGỌT HAPPY ( K BX )</v>
      </c>
      <c r="G244" s="102" t="s">
        <v>1803</v>
      </c>
      <c r="H244" s="103" t="s">
        <v>1739</v>
      </c>
      <c r="I244" s="104"/>
      <c r="J244" s="99"/>
      <c r="K244" s="106">
        <v>2.2000000000000002</v>
      </c>
      <c r="L244" s="107">
        <v>50000</v>
      </c>
      <c r="M244" s="104"/>
      <c r="N244" s="101"/>
      <c r="O244" s="101">
        <v>1</v>
      </c>
      <c r="P244" s="104">
        <f>VLOOKUP($B244,ma!$A:$C,3,0)</f>
        <v>800000</v>
      </c>
      <c r="Q244" s="108">
        <v>880000</v>
      </c>
      <c r="R244" s="109">
        <v>0.1</v>
      </c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spans="1:27" ht="14">
      <c r="A245" s="97">
        <f t="shared" si="34"/>
        <v>20</v>
      </c>
      <c r="B245" s="98" t="s">
        <v>1804</v>
      </c>
      <c r="C245" s="99" t="s">
        <v>1698</v>
      </c>
      <c r="D245" s="100">
        <v>46182</v>
      </c>
      <c r="E245" s="99" t="str">
        <f>VLOOKUP($C245,xe!$A:$B,2,0)</f>
        <v>51H -88294</v>
      </c>
      <c r="F245" s="101" t="str">
        <f>VLOOKUP($B245,ma!$A:$B,2,0)</f>
        <v>NAM VIỆT ĐỖ ( K BX )</v>
      </c>
      <c r="G245" s="102" t="s">
        <v>1805</v>
      </c>
      <c r="H245" s="103" t="s">
        <v>1739</v>
      </c>
      <c r="I245" s="104"/>
      <c r="J245" s="99"/>
      <c r="K245" s="106">
        <v>1.4</v>
      </c>
      <c r="L245" s="107">
        <v>50000</v>
      </c>
      <c r="M245" s="104"/>
      <c r="N245" s="101"/>
      <c r="O245" s="101">
        <v>1</v>
      </c>
      <c r="P245" s="104">
        <f>VLOOKUP($B245,ma!$A:$C,3,0)</f>
        <v>800000</v>
      </c>
      <c r="Q245" s="108">
        <v>880000</v>
      </c>
      <c r="R245" s="109">
        <v>0.1</v>
      </c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spans="1:27" ht="14">
      <c r="A246" s="97">
        <f t="shared" si="34"/>
        <v>21</v>
      </c>
      <c r="B246" s="98" t="s">
        <v>1806</v>
      </c>
      <c r="C246" s="99" t="s">
        <v>62</v>
      </c>
      <c r="D246" s="100">
        <v>46182</v>
      </c>
      <c r="E246" s="114" t="e">
        <f>VLOOKUP($C246,xe!$A:$B,2,0)</f>
        <v>#N/A</v>
      </c>
      <c r="F246" s="101" t="str">
        <f>VLOOKUP($B246,ma!$A:$B,2,0)</f>
        <v>QUẬN 8</v>
      </c>
      <c r="G246" s="102" t="s">
        <v>1807</v>
      </c>
      <c r="H246" s="103" t="s">
        <v>1739</v>
      </c>
      <c r="I246" s="104"/>
      <c r="J246" s="126" t="s">
        <v>1520</v>
      </c>
      <c r="K246" s="106">
        <v>2</v>
      </c>
      <c r="L246" s="107"/>
      <c r="M246" s="104"/>
      <c r="N246" s="101"/>
      <c r="O246" s="101">
        <v>1</v>
      </c>
      <c r="P246" s="104">
        <f>VLOOKUP($B246,ma!$A:$C,3,0)</f>
        <v>800000</v>
      </c>
      <c r="Q246" s="108">
        <v>880000</v>
      </c>
      <c r="R246" s="109">
        <v>0.1</v>
      </c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spans="1:27" ht="14">
      <c r="A247" s="97">
        <f t="shared" si="34"/>
        <v>22</v>
      </c>
      <c r="B247" s="98" t="s">
        <v>1647</v>
      </c>
      <c r="C247" s="99" t="s">
        <v>1570</v>
      </c>
      <c r="D247" s="100">
        <v>46182</v>
      </c>
      <c r="E247" s="99" t="str">
        <f>VLOOKUP($C247,xe!$A:$B,2,0)</f>
        <v>50H-66445</v>
      </c>
      <c r="F247" s="101" t="str">
        <f>VLOOKUP($B247,ma!$A:$B,2,0)</f>
        <v>BHX ( TĐN)</v>
      </c>
      <c r="G247" s="102" t="s">
        <v>1808</v>
      </c>
      <c r="H247" s="103" t="s">
        <v>1780</v>
      </c>
      <c r="I247" s="104"/>
      <c r="J247" s="99"/>
      <c r="K247" s="106">
        <v>1.6</v>
      </c>
      <c r="L247" s="113">
        <v>160000</v>
      </c>
      <c r="M247" s="104"/>
      <c r="N247" s="101"/>
      <c r="O247" s="101">
        <v>1</v>
      </c>
      <c r="P247" s="104">
        <f>VLOOKUP($B247,ma!$A:$C,3,0)</f>
        <v>800000</v>
      </c>
      <c r="Q247" s="108">
        <v>880000</v>
      </c>
      <c r="R247" s="109">
        <v>0.1</v>
      </c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spans="1:27" ht="14">
      <c r="A248" s="97">
        <f t="shared" si="34"/>
        <v>23</v>
      </c>
      <c r="B248" s="98" t="s">
        <v>1647</v>
      </c>
      <c r="C248" s="99" t="s">
        <v>1503</v>
      </c>
      <c r="D248" s="100">
        <v>46182</v>
      </c>
      <c r="E248" s="99" t="str">
        <f>VLOOKUP($C248,xe!$A:$B,2,0)</f>
        <v>50E-164,61</v>
      </c>
      <c r="F248" s="101" t="str">
        <f>VLOOKUP($B248,ma!$A:$B,2,0)</f>
        <v>BHX ( TĐN)</v>
      </c>
      <c r="G248" s="102" t="s">
        <v>1809</v>
      </c>
      <c r="H248" s="103" t="s">
        <v>1780</v>
      </c>
      <c r="I248" s="104"/>
      <c r="J248" s="99"/>
      <c r="K248" s="106">
        <v>1.4</v>
      </c>
      <c r="L248" s="113">
        <v>150000</v>
      </c>
      <c r="M248" s="104"/>
      <c r="N248" s="101"/>
      <c r="O248" s="101">
        <v>1</v>
      </c>
      <c r="P248" s="104">
        <f>VLOOKUP($B248,ma!$A:$C,3,0)</f>
        <v>800000</v>
      </c>
      <c r="Q248" s="108">
        <v>880000</v>
      </c>
      <c r="R248" s="109">
        <v>0.1</v>
      </c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spans="1:27" ht="14">
      <c r="A249" s="97">
        <f t="shared" si="34"/>
        <v>24</v>
      </c>
      <c r="B249" s="98" t="s">
        <v>1645</v>
      </c>
      <c r="C249" s="99" t="s">
        <v>1576</v>
      </c>
      <c r="D249" s="100">
        <v>46182</v>
      </c>
      <c r="E249" s="99" t="str">
        <f>VLOOKUP($C249,xe!$A:$B,2,0)</f>
        <v>50H-74619</v>
      </c>
      <c r="F249" s="101" t="str">
        <f>VLOOKUP($B249,ma!$A:$B,2,0)</f>
        <v>AEON RDC Q12</v>
      </c>
      <c r="G249" s="102" t="s">
        <v>1810</v>
      </c>
      <c r="H249" s="103" t="s">
        <v>1780</v>
      </c>
      <c r="I249" s="104"/>
      <c r="J249" s="105" t="s">
        <v>119</v>
      </c>
      <c r="K249" s="106">
        <v>1.8</v>
      </c>
      <c r="L249" s="107">
        <f t="shared" ref="L249:L258" si="37">K249*50000</f>
        <v>90000</v>
      </c>
      <c r="M249" s="104"/>
      <c r="N249" s="101"/>
      <c r="O249" s="101">
        <v>1</v>
      </c>
      <c r="P249" s="104">
        <f>VLOOKUP($B249,ma!$A:$C,3,0)</f>
        <v>800000</v>
      </c>
      <c r="Q249" s="108">
        <v>880000</v>
      </c>
      <c r="R249" s="109">
        <v>0.1</v>
      </c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spans="1:27" ht="14">
      <c r="A250" s="97">
        <f t="shared" si="34"/>
        <v>25</v>
      </c>
      <c r="B250" s="98" t="s">
        <v>1645</v>
      </c>
      <c r="C250" s="99" t="s">
        <v>1554</v>
      </c>
      <c r="D250" s="100">
        <v>46182</v>
      </c>
      <c r="E250" s="99" t="str">
        <f>VLOOKUP($C250,xe!$A:$B,2,0)</f>
        <v>50H-63174</v>
      </c>
      <c r="F250" s="101" t="str">
        <f>VLOOKUP($B250,ma!$A:$B,2,0)</f>
        <v>AEON RDC Q12</v>
      </c>
      <c r="G250" s="102" t="s">
        <v>1811</v>
      </c>
      <c r="H250" s="103" t="s">
        <v>1780</v>
      </c>
      <c r="I250" s="104"/>
      <c r="J250" s="105" t="s">
        <v>119</v>
      </c>
      <c r="K250" s="106">
        <v>1.8</v>
      </c>
      <c r="L250" s="107">
        <f t="shared" si="37"/>
        <v>90000</v>
      </c>
      <c r="M250" s="104"/>
      <c r="N250" s="101"/>
      <c r="O250" s="101">
        <v>1</v>
      </c>
      <c r="P250" s="104">
        <f>VLOOKUP($B250,ma!$A:$C,3,0)</f>
        <v>800000</v>
      </c>
      <c r="Q250" s="108">
        <v>880000</v>
      </c>
      <c r="R250" s="109">
        <v>0.1</v>
      </c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spans="1:27" ht="14">
      <c r="A251" s="97">
        <f t="shared" si="34"/>
        <v>26</v>
      </c>
      <c r="B251" s="98" t="s">
        <v>1645</v>
      </c>
      <c r="C251" s="99" t="s">
        <v>1549</v>
      </c>
      <c r="D251" s="100">
        <v>46182</v>
      </c>
      <c r="E251" s="99" t="str">
        <f>VLOOKUP($C251,xe!$A:$B,2,0)</f>
        <v>50H-55443</v>
      </c>
      <c r="F251" s="101" t="str">
        <f>VLOOKUP($B251,ma!$A:$B,2,0)</f>
        <v>AEON RDC Q12</v>
      </c>
      <c r="G251" s="102" t="s">
        <v>1812</v>
      </c>
      <c r="H251" s="103" t="s">
        <v>1780</v>
      </c>
      <c r="I251" s="104"/>
      <c r="J251" s="105" t="s">
        <v>119</v>
      </c>
      <c r="K251" s="106">
        <v>1.8</v>
      </c>
      <c r="L251" s="107">
        <f t="shared" si="37"/>
        <v>90000</v>
      </c>
      <c r="M251" s="104"/>
      <c r="N251" s="101"/>
      <c r="O251" s="101">
        <v>1</v>
      </c>
      <c r="P251" s="104">
        <f>VLOOKUP($B251,ma!$A:$C,3,0)</f>
        <v>800000</v>
      </c>
      <c r="Q251" s="108">
        <v>880000</v>
      </c>
      <c r="R251" s="109">
        <v>0.1</v>
      </c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spans="1:27" ht="14">
      <c r="A252" s="97">
        <f t="shared" si="34"/>
        <v>27</v>
      </c>
      <c r="B252" s="98" t="s">
        <v>1578</v>
      </c>
      <c r="C252" s="99" t="s">
        <v>1505</v>
      </c>
      <c r="D252" s="100">
        <v>46182</v>
      </c>
      <c r="E252" s="99" t="str">
        <f>VLOOKUP($C252,xe!$A:$B,2,0)</f>
        <v>50H 87442</v>
      </c>
      <c r="F252" s="101" t="str">
        <f>VLOOKUP($B252,ma!$A:$B,2,0)</f>
        <v>CALOFIC - UNI ( xe nhỏ )</v>
      </c>
      <c r="G252" s="102" t="s">
        <v>1813</v>
      </c>
      <c r="H252" s="103" t="s">
        <v>1739</v>
      </c>
      <c r="I252" s="104"/>
      <c r="J252" s="99"/>
      <c r="K252" s="106">
        <v>1.6</v>
      </c>
      <c r="L252" s="107">
        <f t="shared" si="37"/>
        <v>80000</v>
      </c>
      <c r="M252" s="104"/>
      <c r="N252" s="101"/>
      <c r="O252" s="101">
        <v>1</v>
      </c>
      <c r="P252" s="104">
        <f>VLOOKUP($B252,ma!$A:$C,3,0)</f>
        <v>300000</v>
      </c>
      <c r="Q252" s="108">
        <v>330000</v>
      </c>
      <c r="R252" s="109">
        <v>0.1</v>
      </c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 spans="1:27" ht="14">
      <c r="A253" s="116">
        <v>1</v>
      </c>
      <c r="B253" s="117" t="s">
        <v>1612</v>
      </c>
      <c r="C253" s="118" t="s">
        <v>64</v>
      </c>
      <c r="D253" s="119">
        <v>46183</v>
      </c>
      <c r="E253" s="118" t="e">
        <f>VLOOKUP($C253,xe!$A:$B,2,0)</f>
        <v>#N/A</v>
      </c>
      <c r="F253" s="120" t="str">
        <f>VLOOKUP($B253,ma!$A:$B,2,0)</f>
        <v>E MART SALA</v>
      </c>
      <c r="G253" s="121" t="s">
        <v>1814</v>
      </c>
      <c r="H253" s="122" t="s">
        <v>1780</v>
      </c>
      <c r="I253" s="123"/>
      <c r="J253" s="105" t="s">
        <v>119</v>
      </c>
      <c r="K253" s="124">
        <v>1.6</v>
      </c>
      <c r="L253" s="125">
        <f t="shared" si="37"/>
        <v>80000</v>
      </c>
      <c r="M253" s="123"/>
      <c r="N253" s="120"/>
      <c r="O253" s="120">
        <v>1</v>
      </c>
      <c r="P253" s="123">
        <f>VLOOKUP($B253,ma!$A:$C,3,0)</f>
        <v>800000</v>
      </c>
      <c r="Q253" s="108">
        <v>880000</v>
      </c>
      <c r="R253" s="109">
        <v>0.1</v>
      </c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 spans="1:27" ht="14">
      <c r="A254" s="97">
        <f t="shared" ref="A254:A290" si="38">A253+1</f>
        <v>2</v>
      </c>
      <c r="B254" s="98" t="s">
        <v>1612</v>
      </c>
      <c r="C254" s="99" t="s">
        <v>60</v>
      </c>
      <c r="D254" s="100">
        <v>46183</v>
      </c>
      <c r="E254" s="99" t="e">
        <f>VLOOKUP($C254,xe!$A:$B,2,0)</f>
        <v>#N/A</v>
      </c>
      <c r="F254" s="101" t="str">
        <f>VLOOKUP($B254,ma!$A:$B,2,0)</f>
        <v>E MART SALA</v>
      </c>
      <c r="G254" s="102" t="s">
        <v>1815</v>
      </c>
      <c r="H254" s="103" t="s">
        <v>1780</v>
      </c>
      <c r="I254" s="104"/>
      <c r="J254" s="105" t="s">
        <v>119</v>
      </c>
      <c r="K254" s="106">
        <v>1.6</v>
      </c>
      <c r="L254" s="107">
        <f t="shared" si="37"/>
        <v>80000</v>
      </c>
      <c r="M254" s="104"/>
      <c r="N254" s="101"/>
      <c r="O254" s="101">
        <v>1</v>
      </c>
      <c r="P254" s="104">
        <f>VLOOKUP($B254,ma!$A:$C,3,0)</f>
        <v>800000</v>
      </c>
      <c r="Q254" s="108">
        <v>880000</v>
      </c>
      <c r="R254" s="109">
        <v>0.1</v>
      </c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spans="1:27" ht="14">
      <c r="A255" s="97">
        <f t="shared" si="38"/>
        <v>3</v>
      </c>
      <c r="B255" s="98" t="s">
        <v>1612</v>
      </c>
      <c r="C255" s="99" t="s">
        <v>1484</v>
      </c>
      <c r="D255" s="100">
        <v>46183</v>
      </c>
      <c r="E255" s="99" t="e">
        <f>VLOOKUP($C255,xe!$A:$B,2,0)</f>
        <v>#N/A</v>
      </c>
      <c r="F255" s="101" t="str">
        <f>VLOOKUP($B255,ma!$A:$B,2,0)</f>
        <v>E MART SALA</v>
      </c>
      <c r="G255" s="102" t="s">
        <v>1816</v>
      </c>
      <c r="H255" s="103" t="s">
        <v>1780</v>
      </c>
      <c r="I255" s="104"/>
      <c r="J255" s="105" t="s">
        <v>119</v>
      </c>
      <c r="K255" s="106">
        <v>1.6</v>
      </c>
      <c r="L255" s="107">
        <f t="shared" si="37"/>
        <v>80000</v>
      </c>
      <c r="M255" s="104"/>
      <c r="N255" s="101"/>
      <c r="O255" s="101">
        <v>1</v>
      </c>
      <c r="P255" s="104">
        <f>VLOOKUP($B255,ma!$A:$C,3,0)</f>
        <v>800000</v>
      </c>
      <c r="Q255" s="108">
        <v>880000</v>
      </c>
      <c r="R255" s="109">
        <v>0.1</v>
      </c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spans="1:27" ht="14">
      <c r="A256" s="97">
        <f t="shared" si="38"/>
        <v>4</v>
      </c>
      <c r="B256" s="98" t="s">
        <v>1666</v>
      </c>
      <c r="C256" s="99" t="s">
        <v>62</v>
      </c>
      <c r="D256" s="100">
        <v>46183</v>
      </c>
      <c r="E256" s="114" t="e">
        <f>VLOOKUP($C256,xe!$A:$B,2,0)</f>
        <v>#N/A</v>
      </c>
      <c r="F256" s="101" t="str">
        <f>VLOOKUP($B256,ma!$A:$B,2,0)</f>
        <v>EMART P.H.ÍCH</v>
      </c>
      <c r="G256" s="102"/>
      <c r="H256" s="103"/>
      <c r="I256" s="104"/>
      <c r="J256" s="105" t="s">
        <v>119</v>
      </c>
      <c r="K256" s="106">
        <v>1.8</v>
      </c>
      <c r="L256" s="107">
        <f t="shared" si="37"/>
        <v>90000</v>
      </c>
      <c r="M256" s="104"/>
      <c r="N256" s="101"/>
      <c r="O256" s="101">
        <v>1</v>
      </c>
      <c r="P256" s="104">
        <f>VLOOKUP($B256,ma!$A:$C,3,0)</f>
        <v>800000</v>
      </c>
      <c r="Q256" s="108">
        <v>880000</v>
      </c>
      <c r="R256" s="109">
        <v>0.1</v>
      </c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spans="1:27" ht="14">
      <c r="A257" s="97">
        <f t="shared" si="38"/>
        <v>5</v>
      </c>
      <c r="B257" s="98" t="s">
        <v>1666</v>
      </c>
      <c r="C257" s="99" t="s">
        <v>57</v>
      </c>
      <c r="D257" s="100">
        <v>46183</v>
      </c>
      <c r="E257" s="99" t="e">
        <f>VLOOKUP($C257,xe!$A:$B,2,0)</f>
        <v>#N/A</v>
      </c>
      <c r="F257" s="101" t="str">
        <f>VLOOKUP($B257,ma!$A:$B,2,0)</f>
        <v>EMART P.H.ÍCH</v>
      </c>
      <c r="G257" s="102"/>
      <c r="H257" s="103"/>
      <c r="I257" s="104"/>
      <c r="J257" s="105" t="s">
        <v>119</v>
      </c>
      <c r="K257" s="106">
        <v>1.8</v>
      </c>
      <c r="L257" s="107">
        <f t="shared" si="37"/>
        <v>90000</v>
      </c>
      <c r="M257" s="104"/>
      <c r="N257" s="101"/>
      <c r="O257" s="101">
        <v>1</v>
      </c>
      <c r="P257" s="104">
        <f>VLOOKUP($B257,ma!$A:$C,3,0)</f>
        <v>800000</v>
      </c>
      <c r="Q257" s="108">
        <v>880000</v>
      </c>
      <c r="R257" s="109">
        <v>0.1</v>
      </c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spans="1:27" ht="14">
      <c r="A258" s="97">
        <f t="shared" si="38"/>
        <v>6</v>
      </c>
      <c r="B258" s="98" t="s">
        <v>1666</v>
      </c>
      <c r="C258" s="99" t="s">
        <v>58</v>
      </c>
      <c r="D258" s="100">
        <v>46183</v>
      </c>
      <c r="E258" s="99" t="e">
        <f>VLOOKUP($C258,xe!$A:$B,2,0)</f>
        <v>#N/A</v>
      </c>
      <c r="F258" s="101" t="str">
        <f>VLOOKUP($B258,ma!$A:$B,2,0)</f>
        <v>EMART P.H.ÍCH</v>
      </c>
      <c r="G258" s="102"/>
      <c r="H258" s="103"/>
      <c r="I258" s="104"/>
      <c r="J258" s="105" t="s">
        <v>119</v>
      </c>
      <c r="K258" s="106">
        <v>1.8</v>
      </c>
      <c r="L258" s="107">
        <f t="shared" si="37"/>
        <v>90000</v>
      </c>
      <c r="M258" s="104"/>
      <c r="N258" s="101"/>
      <c r="O258" s="101">
        <v>1</v>
      </c>
      <c r="P258" s="104">
        <f>VLOOKUP($B258,ma!$A:$C,3,0)</f>
        <v>800000</v>
      </c>
      <c r="Q258" s="108">
        <v>880000</v>
      </c>
      <c r="R258" s="109">
        <v>0.1</v>
      </c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spans="1:27" ht="14">
      <c r="A259" s="97">
        <f t="shared" si="38"/>
        <v>7</v>
      </c>
      <c r="B259" s="98" t="s">
        <v>1507</v>
      </c>
      <c r="C259" s="99" t="s">
        <v>28</v>
      </c>
      <c r="D259" s="100">
        <v>46183</v>
      </c>
      <c r="E259" s="99" t="str">
        <f>VLOOKUP($C259,xe!$A:$B,2,0)</f>
        <v>50H-54580</v>
      </c>
      <c r="F259" s="101" t="str">
        <f>VLOOKUP($B259,ma!$A:$B,2,0)</f>
        <v>BHX NHÀ BÈ</v>
      </c>
      <c r="G259" s="102" t="s">
        <v>1817</v>
      </c>
      <c r="H259" s="103" t="s">
        <v>1780</v>
      </c>
      <c r="I259" s="104"/>
      <c r="J259" s="105" t="s">
        <v>465</v>
      </c>
      <c r="K259" s="106">
        <v>2.4</v>
      </c>
      <c r="L259" s="113">
        <v>220000</v>
      </c>
      <c r="M259" s="104"/>
      <c r="N259" s="101"/>
      <c r="O259" s="101">
        <v>1</v>
      </c>
      <c r="P259" s="104">
        <f>VLOOKUP($B259,ma!$A:$C,3,0)</f>
        <v>400000</v>
      </c>
      <c r="Q259" s="108">
        <v>440000</v>
      </c>
      <c r="R259" s="109">
        <v>0.1</v>
      </c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spans="1:27" ht="14">
      <c r="A260" s="97">
        <f t="shared" si="38"/>
        <v>8</v>
      </c>
      <c r="B260" s="98" t="s">
        <v>1647</v>
      </c>
      <c r="C260" s="99" t="s">
        <v>56</v>
      </c>
      <c r="D260" s="100">
        <v>46183</v>
      </c>
      <c r="E260" s="99" t="e">
        <f>VLOOKUP($C260,xe!$A:$B,2,0)</f>
        <v>#N/A</v>
      </c>
      <c r="F260" s="101" t="str">
        <f>VLOOKUP($B260,ma!$A:$B,2,0)</f>
        <v>BHX ( TĐN)</v>
      </c>
      <c r="G260" s="102" t="s">
        <v>1818</v>
      </c>
      <c r="H260" s="103" t="s">
        <v>1780</v>
      </c>
      <c r="I260" s="104"/>
      <c r="J260" s="105" t="s">
        <v>465</v>
      </c>
      <c r="K260" s="106">
        <v>1.2</v>
      </c>
      <c r="L260" s="107">
        <f>K260*80000</f>
        <v>96000</v>
      </c>
      <c r="M260" s="104"/>
      <c r="N260" s="101"/>
      <c r="O260" s="101">
        <v>1</v>
      </c>
      <c r="P260" s="104">
        <f>VLOOKUP($B260,ma!$A:$C,3,0)</f>
        <v>800000</v>
      </c>
      <c r="Q260" s="108">
        <v>880000</v>
      </c>
      <c r="R260" s="109">
        <v>0.1</v>
      </c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spans="1:27" ht="14">
      <c r="A261" s="97">
        <f t="shared" si="38"/>
        <v>9</v>
      </c>
      <c r="B261" s="98" t="s">
        <v>1819</v>
      </c>
      <c r="C261" s="99" t="s">
        <v>61</v>
      </c>
      <c r="D261" s="100">
        <v>46183</v>
      </c>
      <c r="E261" s="99" t="e">
        <f>VLOOKUP($C261,xe!$A:$B,2,0)</f>
        <v>#N/A</v>
      </c>
      <c r="F261" s="101" t="str">
        <f>VLOOKUP($B261,ma!$A:$B,2,0)</f>
        <v>KREATORS ( KBX )</v>
      </c>
      <c r="G261" s="102" t="s">
        <v>1820</v>
      </c>
      <c r="H261" s="103" t="s">
        <v>1780</v>
      </c>
      <c r="I261" s="104"/>
      <c r="J261" s="99"/>
      <c r="K261" s="106">
        <v>2</v>
      </c>
      <c r="L261" s="107"/>
      <c r="M261" s="104"/>
      <c r="N261" s="101"/>
      <c r="O261" s="101">
        <v>1</v>
      </c>
      <c r="P261" s="104">
        <f>VLOOKUP($B261,ma!$A:$C,3,0)</f>
        <v>1000000</v>
      </c>
      <c r="Q261" s="108">
        <v>1100000</v>
      </c>
      <c r="R261" s="109">
        <v>0.1</v>
      </c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 spans="1:27" ht="14">
      <c r="A262" s="97">
        <f t="shared" si="38"/>
        <v>10</v>
      </c>
      <c r="B262" s="98" t="s">
        <v>1819</v>
      </c>
      <c r="C262" s="99" t="s">
        <v>63</v>
      </c>
      <c r="D262" s="100">
        <v>46183</v>
      </c>
      <c r="E262" s="99" t="e">
        <f>VLOOKUP($C262,xe!$A:$B,2,0)</f>
        <v>#N/A</v>
      </c>
      <c r="F262" s="101" t="str">
        <f>VLOOKUP($B262,ma!$A:$B,2,0)</f>
        <v>KREATORS ( KBX )</v>
      </c>
      <c r="G262" s="102" t="s">
        <v>1821</v>
      </c>
      <c r="H262" s="103" t="s">
        <v>1780</v>
      </c>
      <c r="I262" s="104"/>
      <c r="J262" s="99"/>
      <c r="K262" s="106">
        <v>2</v>
      </c>
      <c r="L262" s="107"/>
      <c r="M262" s="104"/>
      <c r="N262" s="101"/>
      <c r="O262" s="101">
        <v>1</v>
      </c>
      <c r="P262" s="104">
        <f>VLOOKUP($B262,ma!$A:$C,3,0)</f>
        <v>1000000</v>
      </c>
      <c r="Q262" s="108">
        <v>1100000</v>
      </c>
      <c r="R262" s="109">
        <v>0.1</v>
      </c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spans="1:27" ht="14">
      <c r="A263" s="97">
        <f t="shared" si="38"/>
        <v>11</v>
      </c>
      <c r="B263" s="98" t="s">
        <v>1468</v>
      </c>
      <c r="C263" s="99" t="s">
        <v>55</v>
      </c>
      <c r="D263" s="100">
        <v>46183</v>
      </c>
      <c r="E263" s="99" t="e">
        <f>VLOOKUP($C263,xe!$A:$B,2,0)</f>
        <v>#N/A</v>
      </c>
      <c r="F263" s="101" t="str">
        <f>VLOOKUP($B263,ma!$A:$B,2,0)</f>
        <v>ANFOOD Q12 ( K BX )</v>
      </c>
      <c r="G263" s="102" t="s">
        <v>1822</v>
      </c>
      <c r="H263" s="103" t="s">
        <v>1780</v>
      </c>
      <c r="I263" s="104"/>
      <c r="J263" s="99"/>
      <c r="K263" s="106">
        <v>1.8</v>
      </c>
      <c r="L263" s="107"/>
      <c r="M263" s="104"/>
      <c r="N263" s="101"/>
      <c r="O263" s="101">
        <v>1</v>
      </c>
      <c r="P263" s="104">
        <f>VLOOKUP($B263,ma!$A:$C,3,0)</f>
        <v>800000</v>
      </c>
      <c r="Q263" s="108">
        <v>880000</v>
      </c>
      <c r="R263" s="109">
        <v>0.1</v>
      </c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spans="1:27" ht="14">
      <c r="A264" s="97">
        <f t="shared" si="38"/>
        <v>12</v>
      </c>
      <c r="B264" s="98" t="s">
        <v>1823</v>
      </c>
      <c r="C264" s="99" t="s">
        <v>1695</v>
      </c>
      <c r="D264" s="100">
        <v>46183</v>
      </c>
      <c r="E264" s="99" t="str">
        <f>VLOOKUP($C264,xe!$A:$B,2,0)</f>
        <v>50H-64316</v>
      </c>
      <c r="F264" s="101" t="str">
        <f>VLOOKUP($B264,ma!$A:$B,2,0)</f>
        <v>NHẤT HƯƠNG</v>
      </c>
      <c r="G264" s="102" t="s">
        <v>1824</v>
      </c>
      <c r="H264" s="103" t="s">
        <v>1780</v>
      </c>
      <c r="I264" s="104"/>
      <c r="J264" s="99"/>
      <c r="K264" s="106">
        <v>2</v>
      </c>
      <c r="L264" s="107">
        <f t="shared" ref="L264:L268" si="39">K264*50000</f>
        <v>100000</v>
      </c>
      <c r="M264" s="104"/>
      <c r="N264" s="101"/>
      <c r="O264" s="101">
        <v>1</v>
      </c>
      <c r="P264" s="104">
        <f>VLOOKUP($B264,ma!$A:$C,3,0)</f>
        <v>800000</v>
      </c>
      <c r="Q264" s="108">
        <v>880000</v>
      </c>
      <c r="R264" s="109">
        <v>0.1</v>
      </c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spans="1:27" ht="14">
      <c r="A265" s="97">
        <f t="shared" si="38"/>
        <v>13</v>
      </c>
      <c r="B265" s="98" t="s">
        <v>1188</v>
      </c>
      <c r="C265" s="99" t="s">
        <v>24</v>
      </c>
      <c r="D265" s="100">
        <v>46183</v>
      </c>
      <c r="E265" s="99" t="str">
        <f>VLOOKUP($C265,xe!$A:$B,2,0)</f>
        <v>50H-55161</v>
      </c>
      <c r="F265" s="101" t="str">
        <f>VLOOKUP($B265,ma!$A:$B,2,0)</f>
        <v>SATRA PHẠM HÙNG</v>
      </c>
      <c r="G265" s="102" t="s">
        <v>1825</v>
      </c>
      <c r="H265" s="103" t="s">
        <v>1780</v>
      </c>
      <c r="I265" s="104"/>
      <c r="J265" s="99"/>
      <c r="K265" s="106">
        <v>1</v>
      </c>
      <c r="L265" s="107">
        <f t="shared" si="39"/>
        <v>50000</v>
      </c>
      <c r="M265" s="104"/>
      <c r="N265" s="101"/>
      <c r="O265" s="101">
        <v>1</v>
      </c>
      <c r="P265" s="104">
        <f>VLOOKUP($B265,ma!$A:$C,3,0)</f>
        <v>800000</v>
      </c>
      <c r="Q265" s="108">
        <v>880000</v>
      </c>
      <c r="R265" s="109">
        <v>0.1</v>
      </c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spans="1:27" ht="14">
      <c r="A266" s="97">
        <f t="shared" si="38"/>
        <v>14</v>
      </c>
      <c r="B266" s="98" t="s">
        <v>1059</v>
      </c>
      <c r="C266" s="99" t="s">
        <v>1509</v>
      </c>
      <c r="D266" s="100">
        <v>46183</v>
      </c>
      <c r="E266" s="99" t="str">
        <f>VLOOKUP($C266,xe!$A:$B,2,0)</f>
        <v>50H-70216</v>
      </c>
      <c r="F266" s="101" t="str">
        <f>VLOOKUP($B266,ma!$A:$B,2,0)</f>
        <v>BIG C AN LAC</v>
      </c>
      <c r="G266" s="102" t="s">
        <v>1826</v>
      </c>
      <c r="H266" s="103" t="s">
        <v>1704</v>
      </c>
      <c r="I266" s="104"/>
      <c r="J266" s="99"/>
      <c r="K266" s="106">
        <v>2</v>
      </c>
      <c r="L266" s="107">
        <f t="shared" si="39"/>
        <v>100000</v>
      </c>
      <c r="M266" s="104"/>
      <c r="N266" s="101"/>
      <c r="O266" s="101">
        <v>1</v>
      </c>
      <c r="P266" s="104">
        <f>VLOOKUP($B266,ma!$A:$C,3,0)</f>
        <v>800000</v>
      </c>
      <c r="Q266" s="108">
        <v>880000</v>
      </c>
      <c r="R266" s="109">
        <v>0.1</v>
      </c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spans="1:27" ht="14">
      <c r="A267" s="97">
        <f t="shared" si="38"/>
        <v>15</v>
      </c>
      <c r="B267" s="98" t="s">
        <v>452</v>
      </c>
      <c r="C267" s="99" t="s">
        <v>10</v>
      </c>
      <c r="D267" s="100">
        <v>46183</v>
      </c>
      <c r="E267" s="99" t="str">
        <f>VLOOKUP($C267,xe!$A:$B,2,0)</f>
        <v>50H-50999</v>
      </c>
      <c r="F267" s="101" t="str">
        <f>VLOOKUP($B267,ma!$A:$B,2,0)</f>
        <v>NGUYỄN TRƯƠNG</v>
      </c>
      <c r="G267" s="102" t="s">
        <v>1827</v>
      </c>
      <c r="H267" s="103" t="s">
        <v>1780</v>
      </c>
      <c r="I267" s="104"/>
      <c r="J267" s="99"/>
      <c r="K267" s="106">
        <v>1.4</v>
      </c>
      <c r="L267" s="107">
        <f t="shared" si="39"/>
        <v>70000</v>
      </c>
      <c r="M267" s="104"/>
      <c r="N267" s="101"/>
      <c r="O267" s="101">
        <v>1</v>
      </c>
      <c r="P267" s="104">
        <f>VLOOKUP($B267,ma!$A:$C,3,0)</f>
        <v>800000</v>
      </c>
      <c r="Q267" s="108">
        <v>880000</v>
      </c>
      <c r="R267" s="109">
        <v>0.1</v>
      </c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spans="1:27" ht="14">
      <c r="A268" s="97">
        <f t="shared" si="38"/>
        <v>16</v>
      </c>
      <c r="B268" s="98" t="s">
        <v>673</v>
      </c>
      <c r="C268" s="99" t="s">
        <v>1505</v>
      </c>
      <c r="D268" s="100">
        <v>46183</v>
      </c>
      <c r="E268" s="99" t="str">
        <f>VLOOKUP($C268,xe!$A:$B,2,0)</f>
        <v>50H 87442</v>
      </c>
      <c r="F268" s="101" t="str">
        <f>VLOOKUP($B268,ma!$A:$B,2,0)</f>
        <v>THỌ PHÁT</v>
      </c>
      <c r="G268" s="102" t="s">
        <v>1828</v>
      </c>
      <c r="H268" s="103" t="s">
        <v>1780</v>
      </c>
      <c r="I268" s="104"/>
      <c r="J268" s="99"/>
      <c r="K268" s="106">
        <v>2</v>
      </c>
      <c r="L268" s="107">
        <f t="shared" si="39"/>
        <v>100000</v>
      </c>
      <c r="M268" s="104"/>
      <c r="N268" s="101"/>
      <c r="O268" s="101">
        <v>1</v>
      </c>
      <c r="P268" s="104">
        <f>VLOOKUP($B268,ma!$A:$C,3,0)</f>
        <v>500000</v>
      </c>
      <c r="Q268" s="108">
        <v>550000</v>
      </c>
      <c r="R268" s="109">
        <v>0.1</v>
      </c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spans="1:27" ht="14">
      <c r="A269" s="97">
        <f t="shared" si="38"/>
        <v>17</v>
      </c>
      <c r="B269" s="98" t="s">
        <v>657</v>
      </c>
      <c r="C269" s="99" t="s">
        <v>1565</v>
      </c>
      <c r="D269" s="100">
        <v>46183</v>
      </c>
      <c r="E269" s="99" t="str">
        <f>VLOOKUP($C269,xe!$A:$B,2,0)</f>
        <v>50H-55116</v>
      </c>
      <c r="F269" s="101" t="str">
        <f>VLOOKUP($B269,ma!$A:$B,2,0)</f>
        <v>QUANG MINH KHANG</v>
      </c>
      <c r="G269" s="102" t="s">
        <v>1829</v>
      </c>
      <c r="H269" s="103" t="s">
        <v>1780</v>
      </c>
      <c r="I269" s="104"/>
      <c r="J269" s="132" t="s">
        <v>954</v>
      </c>
      <c r="K269" s="106">
        <v>1.4</v>
      </c>
      <c r="L269" s="113">
        <v>120000</v>
      </c>
      <c r="M269" s="104"/>
      <c r="N269" s="101"/>
      <c r="O269" s="101">
        <v>1</v>
      </c>
      <c r="P269" s="104">
        <f>VLOOKUP($B269,ma!$A:$C,3,0)</f>
        <v>800000</v>
      </c>
      <c r="Q269" s="108">
        <v>880000</v>
      </c>
      <c r="R269" s="109">
        <v>0.1</v>
      </c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spans="1:27" ht="14">
      <c r="A270" s="97">
        <f t="shared" si="38"/>
        <v>18</v>
      </c>
      <c r="B270" s="98" t="s">
        <v>496</v>
      </c>
      <c r="C270" s="99" t="s">
        <v>1538</v>
      </c>
      <c r="D270" s="100">
        <v>46183</v>
      </c>
      <c r="E270" s="99" t="str">
        <f>VLOOKUP($C270,xe!$A:$B,2,0)</f>
        <v>50E-164,61</v>
      </c>
      <c r="F270" s="101" t="str">
        <f>VLOOKUP($B270,ma!$A:$B,2,0)</f>
        <v>NDA</v>
      </c>
      <c r="G270" s="102" t="s">
        <v>1830</v>
      </c>
      <c r="H270" s="103" t="s">
        <v>1780</v>
      </c>
      <c r="I270" s="104"/>
      <c r="J270" s="105" t="s">
        <v>119</v>
      </c>
      <c r="K270" s="106">
        <v>1.4</v>
      </c>
      <c r="L270" s="107">
        <f t="shared" ref="L270:L273" si="40">K270*50000</f>
        <v>70000</v>
      </c>
      <c r="M270" s="104"/>
      <c r="N270" s="101"/>
      <c r="O270" s="101">
        <v>1</v>
      </c>
      <c r="P270" s="104">
        <f>VLOOKUP($B270,ma!$A:$C,3,0)</f>
        <v>800000</v>
      </c>
      <c r="Q270" s="108">
        <v>880000</v>
      </c>
      <c r="R270" s="109">
        <v>0.1</v>
      </c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spans="1:27" ht="14">
      <c r="A271" s="97">
        <f t="shared" si="38"/>
        <v>19</v>
      </c>
      <c r="B271" s="98" t="s">
        <v>845</v>
      </c>
      <c r="C271" s="99" t="s">
        <v>1698</v>
      </c>
      <c r="D271" s="100">
        <v>46183</v>
      </c>
      <c r="E271" s="99" t="str">
        <f>VLOOKUP($C271,xe!$A:$B,2,0)</f>
        <v>51H -88294</v>
      </c>
      <c r="F271" s="101" t="str">
        <f>VLOOKUP($B271,ma!$A:$B,2,0)</f>
        <v>KIM KÊ</v>
      </c>
      <c r="G271" s="102" t="s">
        <v>1831</v>
      </c>
      <c r="H271" s="103" t="s">
        <v>1780</v>
      </c>
      <c r="I271" s="104"/>
      <c r="J271" s="99"/>
      <c r="K271" s="106">
        <v>1.8</v>
      </c>
      <c r="L271" s="107">
        <f t="shared" si="40"/>
        <v>90000</v>
      </c>
      <c r="M271" s="104"/>
      <c r="N271" s="101"/>
      <c r="O271" s="101">
        <v>1</v>
      </c>
      <c r="P271" s="104">
        <f>VLOOKUP($B271,ma!$A:$C,3,0)</f>
        <v>800000</v>
      </c>
      <c r="Q271" s="108">
        <v>880000</v>
      </c>
      <c r="R271" s="109">
        <v>0.1</v>
      </c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spans="1:27" ht="14">
      <c r="A272" s="97">
        <f t="shared" si="38"/>
        <v>20</v>
      </c>
      <c r="B272" s="98" t="s">
        <v>845</v>
      </c>
      <c r="C272" s="99" t="s">
        <v>1505</v>
      </c>
      <c r="D272" s="100">
        <v>46183</v>
      </c>
      <c r="E272" s="99" t="str">
        <f>VLOOKUP($C272,xe!$A:$B,2,0)</f>
        <v>50H 87442</v>
      </c>
      <c r="F272" s="101" t="str">
        <f>VLOOKUP($B272,ma!$A:$B,2,0)</f>
        <v>KIM KÊ</v>
      </c>
      <c r="G272" s="102" t="s">
        <v>1832</v>
      </c>
      <c r="H272" s="103" t="s">
        <v>1780</v>
      </c>
      <c r="I272" s="104"/>
      <c r="J272" s="99"/>
      <c r="K272" s="106">
        <v>1.6</v>
      </c>
      <c r="L272" s="107">
        <f t="shared" si="40"/>
        <v>80000</v>
      </c>
      <c r="M272" s="104"/>
      <c r="N272" s="101"/>
      <c r="O272" s="101">
        <v>1</v>
      </c>
      <c r="P272" s="104">
        <f>VLOOKUP($B272,ma!$A:$C,3,0)</f>
        <v>800000</v>
      </c>
      <c r="Q272" s="108">
        <v>880000</v>
      </c>
      <c r="R272" s="109">
        <v>0.1</v>
      </c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spans="1:27" ht="14">
      <c r="A273" s="97">
        <f t="shared" si="38"/>
        <v>21</v>
      </c>
      <c r="B273" s="98" t="s">
        <v>845</v>
      </c>
      <c r="C273" s="99" t="s">
        <v>1554</v>
      </c>
      <c r="D273" s="100">
        <v>46183</v>
      </c>
      <c r="E273" s="99" t="str">
        <f>VLOOKUP($C273,xe!$A:$B,2,0)</f>
        <v>50H-63174</v>
      </c>
      <c r="F273" s="101" t="str">
        <f>VLOOKUP($B273,ma!$A:$B,2,0)</f>
        <v>KIM KÊ</v>
      </c>
      <c r="G273" s="102" t="s">
        <v>1833</v>
      </c>
      <c r="H273" s="103" t="s">
        <v>1780</v>
      </c>
      <c r="I273" s="104"/>
      <c r="J273" s="99"/>
      <c r="K273" s="106">
        <v>1.6</v>
      </c>
      <c r="L273" s="107">
        <f t="shared" si="40"/>
        <v>80000</v>
      </c>
      <c r="M273" s="104"/>
      <c r="N273" s="101"/>
      <c r="O273" s="101">
        <v>1</v>
      </c>
      <c r="P273" s="104">
        <f>VLOOKUP($B273,ma!$A:$C,3,0)</f>
        <v>800000</v>
      </c>
      <c r="Q273" s="108">
        <v>880000</v>
      </c>
      <c r="R273" s="109">
        <v>0.1</v>
      </c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spans="1:27" ht="14">
      <c r="A274" s="97">
        <f t="shared" si="38"/>
        <v>22</v>
      </c>
      <c r="B274" s="98" t="s">
        <v>913</v>
      </c>
      <c r="C274" s="99" t="s">
        <v>1570</v>
      </c>
      <c r="D274" s="100">
        <v>46183</v>
      </c>
      <c r="E274" s="99" t="str">
        <f>VLOOKUP($C274,xe!$A:$B,2,0)</f>
        <v>50H-66445</v>
      </c>
      <c r="F274" s="101" t="str">
        <f>VLOOKUP($B274,ma!$A:$B,2,0)</f>
        <v>XUÂN VÂN ( K BX )</v>
      </c>
      <c r="G274" s="102" t="s">
        <v>1834</v>
      </c>
      <c r="H274" s="103" t="s">
        <v>1780</v>
      </c>
      <c r="I274" s="104"/>
      <c r="J274" s="99"/>
      <c r="K274" s="106">
        <v>2</v>
      </c>
      <c r="L274" s="107">
        <v>50000</v>
      </c>
      <c r="M274" s="104"/>
      <c r="N274" s="101"/>
      <c r="O274" s="101">
        <v>1</v>
      </c>
      <c r="P274" s="104">
        <f>VLOOKUP($B274,ma!$A:$C,3,0)</f>
        <v>800000</v>
      </c>
      <c r="Q274" s="108">
        <v>880000</v>
      </c>
      <c r="R274" s="109">
        <v>0.1</v>
      </c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spans="1:27" ht="14">
      <c r="A275" s="97">
        <f t="shared" si="38"/>
        <v>23</v>
      </c>
      <c r="B275" s="98" t="s">
        <v>913</v>
      </c>
      <c r="C275" s="99" t="s">
        <v>1549</v>
      </c>
      <c r="D275" s="100">
        <v>46183</v>
      </c>
      <c r="E275" s="99" t="str">
        <f>VLOOKUP($C275,xe!$A:$B,2,0)</f>
        <v>50H-55443</v>
      </c>
      <c r="F275" s="101" t="str">
        <f>VLOOKUP($B275,ma!$A:$B,2,0)</f>
        <v>XUÂN VÂN ( K BX )</v>
      </c>
      <c r="G275" s="102" t="s">
        <v>1835</v>
      </c>
      <c r="H275" s="103" t="s">
        <v>1780</v>
      </c>
      <c r="I275" s="104"/>
      <c r="J275" s="99"/>
      <c r="K275" s="106">
        <v>2</v>
      </c>
      <c r="L275" s="107">
        <v>50000</v>
      </c>
      <c r="M275" s="104"/>
      <c r="N275" s="101"/>
      <c r="O275" s="101">
        <v>1</v>
      </c>
      <c r="P275" s="104">
        <f>VLOOKUP($B275,ma!$A:$C,3,0)</f>
        <v>800000</v>
      </c>
      <c r="Q275" s="108">
        <v>880000</v>
      </c>
      <c r="R275" s="109">
        <v>0.1</v>
      </c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spans="1:27" ht="14">
      <c r="A276" s="97">
        <f t="shared" si="38"/>
        <v>24</v>
      </c>
      <c r="B276" s="98" t="s">
        <v>913</v>
      </c>
      <c r="C276" s="99" t="s">
        <v>28</v>
      </c>
      <c r="D276" s="100">
        <v>46183</v>
      </c>
      <c r="E276" s="99" t="str">
        <f>VLOOKUP($C276,xe!$A:$B,2,0)</f>
        <v>50H-54580</v>
      </c>
      <c r="F276" s="101" t="str">
        <f>VLOOKUP($B276,ma!$A:$B,2,0)</f>
        <v>XUÂN VÂN ( K BX )</v>
      </c>
      <c r="G276" s="102" t="s">
        <v>1836</v>
      </c>
      <c r="H276" s="103" t="s">
        <v>1780</v>
      </c>
      <c r="I276" s="104"/>
      <c r="J276" s="99"/>
      <c r="K276" s="106">
        <v>2</v>
      </c>
      <c r="L276" s="107">
        <v>50000</v>
      </c>
      <c r="M276" s="104"/>
      <c r="N276" s="101"/>
      <c r="O276" s="101">
        <v>1</v>
      </c>
      <c r="P276" s="104">
        <f>VLOOKUP($B276,ma!$A:$C,3,0)</f>
        <v>800000</v>
      </c>
      <c r="Q276" s="108">
        <v>880000</v>
      </c>
      <c r="R276" s="109">
        <v>0.1</v>
      </c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spans="1:27" ht="14">
      <c r="A277" s="97">
        <f t="shared" si="38"/>
        <v>25</v>
      </c>
      <c r="B277" s="98" t="s">
        <v>893</v>
      </c>
      <c r="C277" s="99" t="s">
        <v>1570</v>
      </c>
      <c r="D277" s="100">
        <v>46183</v>
      </c>
      <c r="E277" s="99" t="str">
        <f>VLOOKUP($C277,xe!$A:$B,2,0)</f>
        <v>50H-66445</v>
      </c>
      <c r="F277" s="101" t="str">
        <f>VLOOKUP($B277,ma!$A:$B,2,0)</f>
        <v>VĂN HẬU Q8 ( K BX )</v>
      </c>
      <c r="G277" s="102" t="s">
        <v>1499</v>
      </c>
      <c r="H277" s="103" t="s">
        <v>1499</v>
      </c>
      <c r="I277" s="104"/>
      <c r="J277" s="99"/>
      <c r="K277" s="106">
        <v>2.2000000000000002</v>
      </c>
      <c r="L277" s="107">
        <v>50000</v>
      </c>
      <c r="M277" s="104"/>
      <c r="N277" s="101"/>
      <c r="O277" s="101">
        <v>1</v>
      </c>
      <c r="P277" s="104">
        <f>VLOOKUP($B277,ma!$A:$C,3,0)</f>
        <v>800000</v>
      </c>
      <c r="Q277" s="108">
        <v>880000</v>
      </c>
      <c r="R277" s="109">
        <v>0.1</v>
      </c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spans="1:27" ht="14">
      <c r="A278" s="97">
        <f t="shared" si="38"/>
        <v>26</v>
      </c>
      <c r="B278" s="98" t="s">
        <v>1085</v>
      </c>
      <c r="C278" s="99" t="s">
        <v>1503</v>
      </c>
      <c r="D278" s="100">
        <v>46183</v>
      </c>
      <c r="E278" s="99" t="str">
        <f>VLOOKUP($C278,xe!$A:$B,2,0)</f>
        <v>50E-164,61</v>
      </c>
      <c r="F278" s="101" t="str">
        <f>VLOOKUP($B278,ma!$A:$B,2,0)</f>
        <v>BIG C BIG C DĨ AN</v>
      </c>
      <c r="G278" s="102" t="s">
        <v>1837</v>
      </c>
      <c r="H278" s="103" t="s">
        <v>1704</v>
      </c>
      <c r="I278" s="104"/>
      <c r="J278" s="99"/>
      <c r="K278" s="106">
        <v>1.6</v>
      </c>
      <c r="L278" s="107">
        <f t="shared" ref="L278:L282" si="41">K278*50000</f>
        <v>80000</v>
      </c>
      <c r="M278" s="104"/>
      <c r="N278" s="101"/>
      <c r="O278" s="101">
        <v>1</v>
      </c>
      <c r="P278" s="104">
        <f>VLOOKUP($B278,ma!$A:$C,3,0)</f>
        <v>900000</v>
      </c>
      <c r="Q278" s="108">
        <v>990000</v>
      </c>
      <c r="R278" s="109">
        <v>0.1</v>
      </c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spans="1:27" ht="14">
      <c r="A279" s="97">
        <f t="shared" si="38"/>
        <v>27</v>
      </c>
      <c r="B279" s="98" t="s">
        <v>1085</v>
      </c>
      <c r="C279" s="99" t="s">
        <v>1695</v>
      </c>
      <c r="D279" s="100">
        <v>46183</v>
      </c>
      <c r="E279" s="99" t="str">
        <f>VLOOKUP($C279,xe!$A:$B,2,0)</f>
        <v>50H-64316</v>
      </c>
      <c r="F279" s="101" t="str">
        <f>VLOOKUP($B279,ma!$A:$B,2,0)</f>
        <v>BIG C BIG C DĨ AN</v>
      </c>
      <c r="G279" s="102" t="s">
        <v>1838</v>
      </c>
      <c r="H279" s="103" t="s">
        <v>1704</v>
      </c>
      <c r="I279" s="104"/>
      <c r="J279" s="99"/>
      <c r="K279" s="106">
        <v>1.6</v>
      </c>
      <c r="L279" s="107">
        <f t="shared" si="41"/>
        <v>80000</v>
      </c>
      <c r="M279" s="104"/>
      <c r="N279" s="101"/>
      <c r="O279" s="101">
        <v>1</v>
      </c>
      <c r="P279" s="104">
        <f>VLOOKUP($B279,ma!$A:$C,3,0)</f>
        <v>900000</v>
      </c>
      <c r="Q279" s="108">
        <v>990000</v>
      </c>
      <c r="R279" s="109">
        <v>0.1</v>
      </c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spans="1:27" ht="14">
      <c r="A280" s="97">
        <f t="shared" si="38"/>
        <v>28</v>
      </c>
      <c r="B280" s="98" t="s">
        <v>1071</v>
      </c>
      <c r="C280" s="99" t="s">
        <v>24</v>
      </c>
      <c r="D280" s="100">
        <v>46183</v>
      </c>
      <c r="E280" s="99" t="str">
        <f>VLOOKUP($C280,xe!$A:$B,2,0)</f>
        <v>50H-55161</v>
      </c>
      <c r="F280" s="101" t="str">
        <f>VLOOKUP($B280,ma!$A:$B,2,0)</f>
        <v>BIG C TÂN HIỆP</v>
      </c>
      <c r="G280" s="102" t="s">
        <v>1839</v>
      </c>
      <c r="H280" s="103" t="s">
        <v>1704</v>
      </c>
      <c r="I280" s="104"/>
      <c r="J280" s="99"/>
      <c r="K280" s="106">
        <v>1.6</v>
      </c>
      <c r="L280" s="107">
        <f t="shared" si="41"/>
        <v>80000</v>
      </c>
      <c r="M280" s="104"/>
      <c r="N280" s="101"/>
      <c r="O280" s="101">
        <v>1</v>
      </c>
      <c r="P280" s="104">
        <f>VLOOKUP($B280,ma!$A:$C,3,0)</f>
        <v>900000</v>
      </c>
      <c r="Q280" s="108">
        <v>990000</v>
      </c>
      <c r="R280" s="109">
        <v>0.1</v>
      </c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spans="1:27" ht="14">
      <c r="A281" s="97">
        <f t="shared" si="38"/>
        <v>29</v>
      </c>
      <c r="B281" s="98" t="s">
        <v>1071</v>
      </c>
      <c r="C281" s="99" t="s">
        <v>1509</v>
      </c>
      <c r="D281" s="100">
        <v>46183</v>
      </c>
      <c r="E281" s="99" t="str">
        <f>VLOOKUP($C281,xe!$A:$B,2,0)</f>
        <v>50H-70216</v>
      </c>
      <c r="F281" s="101" t="str">
        <f>VLOOKUP($B281,ma!$A:$B,2,0)</f>
        <v>BIG C TÂN HIỆP</v>
      </c>
      <c r="G281" s="102" t="s">
        <v>1840</v>
      </c>
      <c r="H281" s="103" t="s">
        <v>1704</v>
      </c>
      <c r="I281" s="104"/>
      <c r="J281" s="99"/>
      <c r="K281" s="106">
        <v>1.8</v>
      </c>
      <c r="L281" s="107">
        <f t="shared" si="41"/>
        <v>90000</v>
      </c>
      <c r="M281" s="104"/>
      <c r="N281" s="101"/>
      <c r="O281" s="101">
        <v>1</v>
      </c>
      <c r="P281" s="104">
        <f>VLOOKUP($B281,ma!$A:$C,3,0)</f>
        <v>900000</v>
      </c>
      <c r="Q281" s="108">
        <v>990000</v>
      </c>
      <c r="R281" s="109">
        <v>0.1</v>
      </c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spans="1:27" ht="14">
      <c r="A282" s="97">
        <f t="shared" si="38"/>
        <v>30</v>
      </c>
      <c r="B282" s="98" t="s">
        <v>1071</v>
      </c>
      <c r="C282" s="99" t="s">
        <v>10</v>
      </c>
      <c r="D282" s="100">
        <v>46183</v>
      </c>
      <c r="E282" s="99" t="str">
        <f>VLOOKUP($C282,xe!$A:$B,2,0)</f>
        <v>50H-50999</v>
      </c>
      <c r="F282" s="101" t="str">
        <f>VLOOKUP($B282,ma!$A:$B,2,0)</f>
        <v>BIG C TÂN HIỆP</v>
      </c>
      <c r="G282" s="102" t="s">
        <v>1841</v>
      </c>
      <c r="H282" s="103" t="s">
        <v>1704</v>
      </c>
      <c r="I282" s="104"/>
      <c r="J282" s="99"/>
      <c r="K282" s="106">
        <v>1.6</v>
      </c>
      <c r="L282" s="107">
        <f t="shared" si="41"/>
        <v>80000</v>
      </c>
      <c r="M282" s="104"/>
      <c r="N282" s="101"/>
      <c r="O282" s="101">
        <v>1</v>
      </c>
      <c r="P282" s="104">
        <f>VLOOKUP($B282,ma!$A:$C,3,0)</f>
        <v>900000</v>
      </c>
      <c r="Q282" s="108">
        <v>990000</v>
      </c>
      <c r="R282" s="109">
        <v>0.1</v>
      </c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spans="1:27" ht="14">
      <c r="A283" s="97">
        <f t="shared" si="38"/>
        <v>31</v>
      </c>
      <c r="B283" s="98" t="s">
        <v>1113</v>
      </c>
      <c r="C283" s="99" t="s">
        <v>28</v>
      </c>
      <c r="D283" s="100">
        <v>46183</v>
      </c>
      <c r="E283" s="99" t="str">
        <f>VLOOKUP($C283,xe!$A:$B,2,0)</f>
        <v>50H-54580</v>
      </c>
      <c r="F283" s="101" t="str">
        <f>VLOOKUP($B283,ma!$A:$B,2,0)</f>
        <v>BHX ( VL)</v>
      </c>
      <c r="G283" s="102" t="s">
        <v>1842</v>
      </c>
      <c r="H283" s="103" t="s">
        <v>1704</v>
      </c>
      <c r="I283" s="104"/>
      <c r="J283" s="99"/>
      <c r="K283" s="106">
        <v>2.2000000000000002</v>
      </c>
      <c r="L283" s="113">
        <v>210000</v>
      </c>
      <c r="M283" s="104"/>
      <c r="N283" s="101"/>
      <c r="O283" s="101">
        <v>1</v>
      </c>
      <c r="P283" s="104">
        <f>VLOOKUP($B283,ma!$A:$C,3,0)</f>
        <v>800000</v>
      </c>
      <c r="Q283" s="108">
        <v>880000</v>
      </c>
      <c r="R283" s="109">
        <v>0.1</v>
      </c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spans="1:27" ht="14">
      <c r="A284" s="97">
        <f t="shared" si="38"/>
        <v>32</v>
      </c>
      <c r="B284" s="98" t="s">
        <v>1113</v>
      </c>
      <c r="C284" s="99" t="s">
        <v>1698</v>
      </c>
      <c r="D284" s="100">
        <v>46183</v>
      </c>
      <c r="E284" s="99" t="str">
        <f>VLOOKUP($C284,xe!$A:$B,2,0)</f>
        <v>51H -88294</v>
      </c>
      <c r="F284" s="101" t="str">
        <f>VLOOKUP($B284,ma!$A:$B,2,0)</f>
        <v>BHX ( VL)</v>
      </c>
      <c r="G284" s="102" t="s">
        <v>1843</v>
      </c>
      <c r="H284" s="103" t="s">
        <v>1704</v>
      </c>
      <c r="I284" s="104"/>
      <c r="J284" s="99"/>
      <c r="K284" s="106">
        <v>2.2000000000000002</v>
      </c>
      <c r="L284" s="113">
        <v>210000</v>
      </c>
      <c r="M284" s="104"/>
      <c r="N284" s="101"/>
      <c r="O284" s="101">
        <v>1</v>
      </c>
      <c r="P284" s="104">
        <f>VLOOKUP($B284,ma!$A:$C,3,0)</f>
        <v>800000</v>
      </c>
      <c r="Q284" s="108">
        <v>880000</v>
      </c>
      <c r="R284" s="109">
        <v>0.1</v>
      </c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spans="1:27" ht="14">
      <c r="A285" s="97">
        <f t="shared" si="38"/>
        <v>33</v>
      </c>
      <c r="B285" s="98" t="s">
        <v>1113</v>
      </c>
      <c r="C285" s="99" t="s">
        <v>1561</v>
      </c>
      <c r="D285" s="100">
        <v>46183</v>
      </c>
      <c r="E285" s="99" t="e">
        <f>VLOOKUP($C285,xe!$A:$B,2,0)</f>
        <v>#N/A</v>
      </c>
      <c r="F285" s="101" t="str">
        <f>VLOOKUP($B285,ma!$A:$B,2,0)</f>
        <v>BHX ( VL)</v>
      </c>
      <c r="G285" s="102" t="s">
        <v>1844</v>
      </c>
      <c r="H285" s="103" t="s">
        <v>1704</v>
      </c>
      <c r="I285" s="104"/>
      <c r="J285" s="105" t="s">
        <v>465</v>
      </c>
      <c r="K285" s="106">
        <v>1</v>
      </c>
      <c r="L285" s="107">
        <f>K285*80000</f>
        <v>80000</v>
      </c>
      <c r="M285" s="104"/>
      <c r="N285" s="101"/>
      <c r="O285" s="101">
        <v>1</v>
      </c>
      <c r="P285" s="104">
        <f>VLOOKUP($B285,ma!$A:$C,3,0)</f>
        <v>800000</v>
      </c>
      <c r="Q285" s="108">
        <v>880000</v>
      </c>
      <c r="R285" s="109">
        <v>0.1</v>
      </c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spans="1:27" ht="14">
      <c r="A286" s="97">
        <f t="shared" si="38"/>
        <v>34</v>
      </c>
      <c r="B286" s="98" t="s">
        <v>1165</v>
      </c>
      <c r="C286" s="99" t="s">
        <v>1549</v>
      </c>
      <c r="D286" s="100">
        <v>46183</v>
      </c>
      <c r="E286" s="99" t="str">
        <f>VLOOKUP($C286,xe!$A:$B,2,0)</f>
        <v>50H-55443</v>
      </c>
      <c r="F286" s="101" t="str">
        <f>VLOOKUP($B286,ma!$A:$B,2,0)</f>
        <v>LOTTE-GÒ VẤP</v>
      </c>
      <c r="G286" s="102"/>
      <c r="H286" s="103"/>
      <c r="I286" s="104"/>
      <c r="J286" s="105" t="s">
        <v>119</v>
      </c>
      <c r="K286" s="106">
        <v>1.2</v>
      </c>
      <c r="L286" s="107">
        <f t="shared" ref="L286:L288" si="42">K286*50000</f>
        <v>60000</v>
      </c>
      <c r="M286" s="104"/>
      <c r="N286" s="101"/>
      <c r="O286" s="101">
        <v>1</v>
      </c>
      <c r="P286" s="104">
        <f>VLOOKUP($B286,ma!$A:$C,3,0)</f>
        <v>800000</v>
      </c>
      <c r="Q286" s="108">
        <v>880000</v>
      </c>
      <c r="R286" s="109">
        <v>0.1</v>
      </c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spans="1:27" ht="14">
      <c r="A287" s="97">
        <f t="shared" si="38"/>
        <v>35</v>
      </c>
      <c r="B287" s="98" t="s">
        <v>1165</v>
      </c>
      <c r="C287" s="99" t="s">
        <v>1554</v>
      </c>
      <c r="D287" s="100">
        <v>46183</v>
      </c>
      <c r="E287" s="99" t="str">
        <f>VLOOKUP($C287,xe!$A:$B,2,0)</f>
        <v>50H-63174</v>
      </c>
      <c r="F287" s="101" t="str">
        <f>VLOOKUP($B287,ma!$A:$B,2,0)</f>
        <v>LOTTE-GÒ VẤP</v>
      </c>
      <c r="G287" s="102" t="s">
        <v>1845</v>
      </c>
      <c r="H287" s="103" t="s">
        <v>1704</v>
      </c>
      <c r="I287" s="104"/>
      <c r="J287" s="105" t="s">
        <v>119</v>
      </c>
      <c r="K287" s="106">
        <v>1.2</v>
      </c>
      <c r="L287" s="107">
        <f t="shared" si="42"/>
        <v>60000</v>
      </c>
      <c r="M287" s="104"/>
      <c r="N287" s="101"/>
      <c r="O287" s="101">
        <v>1</v>
      </c>
      <c r="P287" s="104">
        <f>VLOOKUP($B287,ma!$A:$C,3,0)</f>
        <v>800000</v>
      </c>
      <c r="Q287" s="108">
        <v>880000</v>
      </c>
      <c r="R287" s="109">
        <v>0.1</v>
      </c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spans="1:27" ht="14">
      <c r="A288" s="97">
        <f t="shared" si="38"/>
        <v>36</v>
      </c>
      <c r="B288" s="98" t="s">
        <v>89</v>
      </c>
      <c r="C288" s="99" t="s">
        <v>1846</v>
      </c>
      <c r="D288" s="100">
        <v>46183</v>
      </c>
      <c r="E288" s="99" t="str">
        <f>VLOOKUP($C288,xe!$A:$B,2,0)</f>
        <v>50H-50999</v>
      </c>
      <c r="F288" s="101" t="str">
        <f>VLOOKUP($B288,ma!$A:$B,2,0)</f>
        <v>CALOFIC - UNI ( xe nhỏ )</v>
      </c>
      <c r="G288" s="102" t="s">
        <v>1847</v>
      </c>
      <c r="H288" s="103" t="s">
        <v>1780</v>
      </c>
      <c r="I288" s="104"/>
      <c r="J288" s="99"/>
      <c r="K288" s="106">
        <v>1</v>
      </c>
      <c r="L288" s="107">
        <f t="shared" si="42"/>
        <v>50000</v>
      </c>
      <c r="M288" s="104"/>
      <c r="N288" s="101"/>
      <c r="O288" s="101">
        <v>1</v>
      </c>
      <c r="P288" s="104">
        <f>VLOOKUP($B288,ma!$A:$C,3,0)</f>
        <v>300000</v>
      </c>
      <c r="Q288" s="108">
        <v>330000</v>
      </c>
      <c r="R288" s="109">
        <v>0.1</v>
      </c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spans="1:27" ht="14">
      <c r="A289" s="97">
        <f t="shared" si="38"/>
        <v>37</v>
      </c>
      <c r="B289" s="98" t="s">
        <v>295</v>
      </c>
      <c r="C289" s="99" t="s">
        <v>63</v>
      </c>
      <c r="D289" s="100">
        <v>46183</v>
      </c>
      <c r="E289" s="99" t="e">
        <f>VLOOKUP($C289,xe!$A:$B,2,0)</f>
        <v>#N/A</v>
      </c>
      <c r="F289" s="101" t="str">
        <f>VLOOKUP($B289,ma!$A:$B,2,0)</f>
        <v>BIBICA MIỀN TÂY ( KBX ) 1</v>
      </c>
      <c r="G289" s="102" t="s">
        <v>1848</v>
      </c>
      <c r="H289" s="103" t="s">
        <v>1704</v>
      </c>
      <c r="I289" s="104"/>
      <c r="J289" s="99"/>
      <c r="K289" s="106">
        <v>1.6</v>
      </c>
      <c r="L289" s="107">
        <v>50000</v>
      </c>
      <c r="M289" s="104"/>
      <c r="N289" s="101"/>
      <c r="O289" s="101">
        <v>1</v>
      </c>
      <c r="P289" s="104">
        <f>VLOOKUP($B289,ma!$A:$C,3,0)</f>
        <v>900000</v>
      </c>
      <c r="Q289" s="108">
        <v>990000</v>
      </c>
      <c r="R289" s="109">
        <v>0.1</v>
      </c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spans="1:27" ht="14">
      <c r="A290" s="97">
        <f t="shared" si="38"/>
        <v>38</v>
      </c>
      <c r="B290" s="98" t="s">
        <v>295</v>
      </c>
      <c r="C290" s="99" t="s">
        <v>1570</v>
      </c>
      <c r="D290" s="100">
        <v>46183</v>
      </c>
      <c r="E290" s="99" t="str">
        <f>VLOOKUP($C290,xe!$A:$B,2,0)</f>
        <v>50H-66445</v>
      </c>
      <c r="F290" s="101" t="str">
        <f>VLOOKUP($B290,ma!$A:$B,2,0)</f>
        <v>BIBICA MIỀN TÂY ( KBX ) 1</v>
      </c>
      <c r="G290" s="102" t="s">
        <v>1849</v>
      </c>
      <c r="H290" s="103" t="s">
        <v>1704</v>
      </c>
      <c r="I290" s="104"/>
      <c r="J290" s="99"/>
      <c r="K290" s="106">
        <v>1.8</v>
      </c>
      <c r="L290" s="107">
        <v>50000</v>
      </c>
      <c r="M290" s="104"/>
      <c r="N290" s="101"/>
      <c r="O290" s="101">
        <v>1</v>
      </c>
      <c r="P290" s="104">
        <f>VLOOKUP($B290,ma!$A:$C,3,0)</f>
        <v>900000</v>
      </c>
      <c r="Q290" s="108">
        <v>990000</v>
      </c>
      <c r="R290" s="109">
        <v>0.1</v>
      </c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spans="1:27" ht="14">
      <c r="A291" s="116">
        <v>1</v>
      </c>
      <c r="B291" s="117" t="s">
        <v>1457</v>
      </c>
      <c r="C291" s="118" t="s">
        <v>61</v>
      </c>
      <c r="D291" s="119">
        <v>46184</v>
      </c>
      <c r="E291" s="118" t="e">
        <f>VLOOKUP($C291,xe!$A:$B,2,0)</f>
        <v>#N/A</v>
      </c>
      <c r="F291" s="120" t="str">
        <f>VLOOKUP($B291,ma!$A:$B,2,0)</f>
        <v>E MART P.V.TRỊ</v>
      </c>
      <c r="G291" s="121" t="s">
        <v>1850</v>
      </c>
      <c r="H291" s="122" t="s">
        <v>1704</v>
      </c>
      <c r="I291" s="123"/>
      <c r="J291" s="105" t="s">
        <v>119</v>
      </c>
      <c r="K291" s="124">
        <v>2</v>
      </c>
      <c r="L291" s="125">
        <f t="shared" ref="L291:L292" si="43">K291*50000</f>
        <v>100000</v>
      </c>
      <c r="M291" s="123"/>
      <c r="N291" s="120"/>
      <c r="O291" s="120">
        <v>1</v>
      </c>
      <c r="P291" s="123">
        <f>VLOOKUP($B291,ma!$A:$C,3,0)</f>
        <v>800000</v>
      </c>
      <c r="Q291" s="108">
        <v>880000</v>
      </c>
      <c r="R291" s="109">
        <v>0.1</v>
      </c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 spans="1:27" ht="14">
      <c r="A292" s="97">
        <f t="shared" ref="A292:A293" si="44">A291+1</f>
        <v>2</v>
      </c>
      <c r="B292" s="98" t="s">
        <v>1457</v>
      </c>
      <c r="C292" s="99" t="s">
        <v>62</v>
      </c>
      <c r="D292" s="100">
        <v>46184</v>
      </c>
      <c r="E292" s="114" t="e">
        <f>VLOOKUP($C292,xe!$A:$B,2,0)</f>
        <v>#N/A</v>
      </c>
      <c r="F292" s="101" t="str">
        <f>VLOOKUP($B292,ma!$A:$B,2,0)</f>
        <v>E MART P.V.TRỊ</v>
      </c>
      <c r="G292" s="102" t="s">
        <v>1851</v>
      </c>
      <c r="H292" s="103" t="s">
        <v>1704</v>
      </c>
      <c r="I292" s="104"/>
      <c r="J292" s="105" t="s">
        <v>119</v>
      </c>
      <c r="K292" s="106">
        <v>2</v>
      </c>
      <c r="L292" s="107">
        <f t="shared" si="43"/>
        <v>100000</v>
      </c>
      <c r="M292" s="104"/>
      <c r="N292" s="101"/>
      <c r="O292" s="101">
        <v>1</v>
      </c>
      <c r="P292" s="104">
        <f>VLOOKUP($B292,ma!$A:$C,3,0)</f>
        <v>800000</v>
      </c>
      <c r="Q292" s="108">
        <v>880000</v>
      </c>
      <c r="R292" s="109">
        <v>0.1</v>
      </c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spans="1:27" ht="14">
      <c r="A293" s="97">
        <f t="shared" si="44"/>
        <v>3</v>
      </c>
      <c r="B293" s="98" t="s">
        <v>1457</v>
      </c>
      <c r="C293" s="99" t="s">
        <v>62</v>
      </c>
      <c r="D293" s="100">
        <v>46184</v>
      </c>
      <c r="E293" s="114" t="e">
        <f>VLOOKUP($C293,xe!$A:$B,2,0)</f>
        <v>#N/A</v>
      </c>
      <c r="F293" s="101" t="str">
        <f>VLOOKUP($B293,ma!$A:$B,2,0)</f>
        <v>E MART P.V.TRỊ</v>
      </c>
      <c r="G293" s="102" t="s">
        <v>1791</v>
      </c>
      <c r="H293" s="103" t="s">
        <v>1704</v>
      </c>
      <c r="I293" s="104"/>
      <c r="J293" s="132" t="s">
        <v>1852</v>
      </c>
      <c r="K293" s="106"/>
      <c r="L293" s="107"/>
      <c r="M293" s="104"/>
      <c r="N293" s="101"/>
      <c r="O293" s="101">
        <v>1</v>
      </c>
      <c r="P293" s="104"/>
      <c r="Q293" s="108">
        <v>300000</v>
      </c>
      <c r="R293" s="109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spans="1:27" ht="14">
      <c r="A294" s="97">
        <f>A292+1</f>
        <v>3</v>
      </c>
      <c r="B294" s="98" t="s">
        <v>1710</v>
      </c>
      <c r="C294" s="99" t="s">
        <v>56</v>
      </c>
      <c r="D294" s="100">
        <v>46184</v>
      </c>
      <c r="E294" s="99" t="e">
        <f>VLOOKUP($C294,xe!$A:$B,2,0)</f>
        <v>#N/A</v>
      </c>
      <c r="F294" s="101" t="str">
        <f>VLOOKUP($B294,ma!$A:$B,2,0)</f>
        <v>M. BÌNH PHÚ</v>
      </c>
      <c r="G294" s="102" t="s">
        <v>1523</v>
      </c>
      <c r="H294" s="103" t="s">
        <v>1704</v>
      </c>
      <c r="I294" s="104"/>
      <c r="J294" s="126" t="s">
        <v>1520</v>
      </c>
      <c r="K294" s="106">
        <v>1</v>
      </c>
      <c r="L294" s="107">
        <f t="shared" ref="L294:L295" si="45">K294*50000</f>
        <v>50000</v>
      </c>
      <c r="M294" s="104"/>
      <c r="N294" s="101"/>
      <c r="O294" s="101">
        <v>1</v>
      </c>
      <c r="P294" s="104">
        <f>VLOOKUP($B294,ma!$A:$C,3,0)</f>
        <v>800000</v>
      </c>
      <c r="Q294" s="108">
        <v>880000</v>
      </c>
      <c r="R294" s="109">
        <v>0.1</v>
      </c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spans="1:27" ht="14">
      <c r="A295" s="97">
        <f t="shared" ref="A295:A331" si="46">A294+1</f>
        <v>4</v>
      </c>
      <c r="B295" s="98" t="s">
        <v>1853</v>
      </c>
      <c r="C295" s="99" t="s">
        <v>55</v>
      </c>
      <c r="D295" s="100">
        <v>46184</v>
      </c>
      <c r="E295" s="99" t="e">
        <f>VLOOKUP($C295,xe!$A:$B,2,0)</f>
        <v>#N/A</v>
      </c>
      <c r="F295" s="101" t="str">
        <f>VLOOKUP($B295,ma!$A:$B,2,0)</f>
        <v>BC GÒ VẤP</v>
      </c>
      <c r="G295" s="102" t="s">
        <v>1854</v>
      </c>
      <c r="H295" s="103" t="s">
        <v>1704</v>
      </c>
      <c r="I295" s="104"/>
      <c r="J295" s="99"/>
      <c r="K295" s="106">
        <v>1.8</v>
      </c>
      <c r="L295" s="107">
        <f t="shared" si="45"/>
        <v>90000</v>
      </c>
      <c r="M295" s="104"/>
      <c r="N295" s="101"/>
      <c r="O295" s="101">
        <v>1</v>
      </c>
      <c r="P295" s="104">
        <f>VLOOKUP($B295,ma!$A:$C,3,0)</f>
        <v>800000</v>
      </c>
      <c r="Q295" s="108">
        <v>880000</v>
      </c>
      <c r="R295" s="109">
        <v>0.1</v>
      </c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spans="1:27" ht="14">
      <c r="A296" s="97">
        <f t="shared" si="46"/>
        <v>5</v>
      </c>
      <c r="B296" s="98" t="s">
        <v>1621</v>
      </c>
      <c r="C296" s="99" t="s">
        <v>64</v>
      </c>
      <c r="D296" s="100">
        <v>46184</v>
      </c>
      <c r="E296" s="99" t="e">
        <f>VLOOKUP($C296,xe!$A:$B,2,0)</f>
        <v>#N/A</v>
      </c>
      <c r="F296" s="101" t="str">
        <f>VLOOKUP($B296,ma!$A:$B,2,0)</f>
        <v>PHONG VÂN - GÒ VẤP ( K BX )</v>
      </c>
      <c r="G296" s="102" t="s">
        <v>1855</v>
      </c>
      <c r="H296" s="103" t="s">
        <v>1704</v>
      </c>
      <c r="I296" s="104"/>
      <c r="J296" s="99"/>
      <c r="K296" s="106"/>
      <c r="L296" s="107"/>
      <c r="M296" s="104"/>
      <c r="N296" s="101"/>
      <c r="O296" s="101">
        <v>1</v>
      </c>
      <c r="P296" s="104">
        <f>VLOOKUP($B296,ma!$A:$C,3,0)</f>
        <v>800000</v>
      </c>
      <c r="Q296" s="108">
        <v>880000</v>
      </c>
      <c r="R296" s="109">
        <v>0.1</v>
      </c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 spans="1:27" ht="14">
      <c r="A297" s="97">
        <f t="shared" si="46"/>
        <v>6</v>
      </c>
      <c r="B297" s="98" t="s">
        <v>1621</v>
      </c>
      <c r="C297" s="99" t="s">
        <v>57</v>
      </c>
      <c r="D297" s="100">
        <v>46184</v>
      </c>
      <c r="E297" s="99" t="e">
        <f>VLOOKUP($C297,xe!$A:$B,2,0)</f>
        <v>#N/A</v>
      </c>
      <c r="F297" s="101" t="str">
        <f>VLOOKUP($B297,ma!$A:$B,2,0)</f>
        <v>PHONG VÂN - GÒ VẤP ( K BX )</v>
      </c>
      <c r="G297" s="102" t="s">
        <v>1856</v>
      </c>
      <c r="H297" s="103" t="s">
        <v>1704</v>
      </c>
      <c r="I297" s="104"/>
      <c r="J297" s="99"/>
      <c r="K297" s="106">
        <v>1.8</v>
      </c>
      <c r="L297" s="107"/>
      <c r="M297" s="104"/>
      <c r="N297" s="101"/>
      <c r="O297" s="101">
        <v>1</v>
      </c>
      <c r="P297" s="104">
        <f>VLOOKUP($B297,ma!$A:$C,3,0)</f>
        <v>800000</v>
      </c>
      <c r="Q297" s="108">
        <v>880000</v>
      </c>
      <c r="R297" s="109">
        <v>0.1</v>
      </c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spans="1:27" ht="14">
      <c r="A298" s="97">
        <f t="shared" si="46"/>
        <v>7</v>
      </c>
      <c r="B298" s="98" t="s">
        <v>1857</v>
      </c>
      <c r="C298" s="99" t="s">
        <v>1484</v>
      </c>
      <c r="D298" s="100">
        <v>46184</v>
      </c>
      <c r="E298" s="99" t="e">
        <f>VLOOKUP($C298,xe!$A:$B,2,0)</f>
        <v>#N/A</v>
      </c>
      <c r="F298" s="101" t="str">
        <f>VLOOKUP($B298,ma!$A:$B,2,0)</f>
        <v>BC NEW CTY</v>
      </c>
      <c r="G298" s="102"/>
      <c r="H298" s="103"/>
      <c r="I298" s="104"/>
      <c r="J298" s="99"/>
      <c r="K298" s="106">
        <v>1.8</v>
      </c>
      <c r="L298" s="107">
        <f>K298*50000</f>
        <v>90000</v>
      </c>
      <c r="M298" s="104"/>
      <c r="N298" s="101"/>
      <c r="O298" s="101">
        <v>1</v>
      </c>
      <c r="P298" s="104">
        <f>VLOOKUP($B298,ma!$A:$C,3,0)</f>
        <v>800000</v>
      </c>
      <c r="Q298" s="108">
        <v>880000</v>
      </c>
      <c r="R298" s="109">
        <v>0.1</v>
      </c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spans="1:27" ht="14">
      <c r="A299" s="97">
        <f t="shared" si="46"/>
        <v>8</v>
      </c>
      <c r="B299" s="98" t="s">
        <v>1819</v>
      </c>
      <c r="C299" s="99" t="s">
        <v>58</v>
      </c>
      <c r="D299" s="100">
        <v>46184</v>
      </c>
      <c r="E299" s="99" t="e">
        <f>VLOOKUP($C299,xe!$A:$B,2,0)</f>
        <v>#N/A</v>
      </c>
      <c r="F299" s="101" t="str">
        <f>VLOOKUP($B299,ma!$A:$B,2,0)</f>
        <v>KREATORS ( KBX )</v>
      </c>
      <c r="G299" s="102" t="s">
        <v>1858</v>
      </c>
      <c r="H299" s="103" t="s">
        <v>1704</v>
      </c>
      <c r="I299" s="104"/>
      <c r="J299" s="99"/>
      <c r="K299" s="106"/>
      <c r="L299" s="107"/>
      <c r="M299" s="104"/>
      <c r="N299" s="101"/>
      <c r="O299" s="101">
        <v>1</v>
      </c>
      <c r="P299" s="104">
        <f>VLOOKUP($B299,ma!$A:$C,3,0)</f>
        <v>1000000</v>
      </c>
      <c r="Q299" s="108">
        <v>1100000</v>
      </c>
      <c r="R299" s="109">
        <v>0.1</v>
      </c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spans="1:27" ht="14">
      <c r="A300" s="97">
        <f t="shared" si="46"/>
        <v>9</v>
      </c>
      <c r="B300" s="98" t="s">
        <v>1492</v>
      </c>
      <c r="C300" s="99" t="s">
        <v>1576</v>
      </c>
      <c r="D300" s="100">
        <v>46184</v>
      </c>
      <c r="E300" s="99" t="str">
        <f>VLOOKUP($C300,xe!$A:$B,2,0)</f>
        <v>50H-74619</v>
      </c>
      <c r="F300" s="101" t="str">
        <f>VLOOKUP($B300,ma!$A:$B,2,0)</f>
        <v>NGUYỄN TRƯƠNG</v>
      </c>
      <c r="G300" s="102" t="s">
        <v>1859</v>
      </c>
      <c r="H300" s="103" t="s">
        <v>1704</v>
      </c>
      <c r="I300" s="104"/>
      <c r="J300" s="99"/>
      <c r="K300" s="106">
        <v>1.2</v>
      </c>
      <c r="L300" s="107">
        <f t="shared" ref="L300:L302" si="47">K300*50000</f>
        <v>60000</v>
      </c>
      <c r="M300" s="104"/>
      <c r="N300" s="101"/>
      <c r="O300" s="101">
        <v>1</v>
      </c>
      <c r="P300" s="104">
        <f>VLOOKUP($B300,ma!$A:$C,3,0)</f>
        <v>800000</v>
      </c>
      <c r="Q300" s="108">
        <v>880000</v>
      </c>
      <c r="R300" s="109">
        <v>0.1</v>
      </c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spans="1:27" ht="14">
      <c r="A301" s="97">
        <f t="shared" si="46"/>
        <v>10</v>
      </c>
      <c r="B301" s="98" t="s">
        <v>1860</v>
      </c>
      <c r="C301" s="99" t="s">
        <v>1680</v>
      </c>
      <c r="D301" s="100">
        <v>46184</v>
      </c>
      <c r="E301" s="99" t="str">
        <f>VLOOKUP($C301,xe!$A:$B,2,0)</f>
        <v>50H-69501</v>
      </c>
      <c r="F301" s="101" t="str">
        <f>VLOOKUP($B301,ma!$A:$B,2,0)</f>
        <v>HUBCAKE</v>
      </c>
      <c r="G301" s="102"/>
      <c r="H301" s="103"/>
      <c r="I301" s="104"/>
      <c r="J301" s="105" t="s">
        <v>1861</v>
      </c>
      <c r="K301" s="106">
        <v>2.4</v>
      </c>
      <c r="L301" s="107">
        <f t="shared" si="47"/>
        <v>120000</v>
      </c>
      <c r="M301" s="104"/>
      <c r="N301" s="101"/>
      <c r="O301" s="101">
        <v>1</v>
      </c>
      <c r="P301" s="104">
        <f>VLOOKUP($B301,ma!$A:$C,3,0)</f>
        <v>800000</v>
      </c>
      <c r="Q301" s="108">
        <v>1460000</v>
      </c>
      <c r="R301" s="109">
        <v>0.1</v>
      </c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spans="1:27" ht="14">
      <c r="A302" s="97">
        <f t="shared" si="46"/>
        <v>11</v>
      </c>
      <c r="B302" s="98" t="s">
        <v>1862</v>
      </c>
      <c r="C302" s="99" t="s">
        <v>1565</v>
      </c>
      <c r="D302" s="100">
        <v>46184</v>
      </c>
      <c r="E302" s="99" t="str">
        <f>VLOOKUP($C302,xe!$A:$B,2,0)</f>
        <v>50H-55116</v>
      </c>
      <c r="F302" s="101" t="str">
        <f>VLOOKUP($B302,ma!$A:$B,2,0)</f>
        <v>ĐẠI QUANG THÀNH</v>
      </c>
      <c r="G302" s="102"/>
      <c r="H302" s="103"/>
      <c r="I302" s="104"/>
      <c r="J302" s="105" t="s">
        <v>1863</v>
      </c>
      <c r="K302" s="106">
        <v>1</v>
      </c>
      <c r="L302" s="107">
        <f t="shared" si="47"/>
        <v>50000</v>
      </c>
      <c r="M302" s="104"/>
      <c r="N302" s="101"/>
      <c r="O302" s="101">
        <v>1</v>
      </c>
      <c r="P302" s="104">
        <f>VLOOKUP($B302,ma!$A:$C,3,0)</f>
        <v>800000</v>
      </c>
      <c r="Q302" s="108">
        <v>300000</v>
      </c>
      <c r="R302" s="109">
        <v>0.1</v>
      </c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spans="1:27" ht="14">
      <c r="A303" s="97">
        <f t="shared" si="46"/>
        <v>12</v>
      </c>
      <c r="B303" s="98" t="s">
        <v>1621</v>
      </c>
      <c r="C303" s="99" t="s">
        <v>1505</v>
      </c>
      <c r="D303" s="100">
        <v>46184</v>
      </c>
      <c r="E303" s="99" t="str">
        <f>VLOOKUP($C303,xe!$A:$B,2,0)</f>
        <v>50H 87442</v>
      </c>
      <c r="F303" s="101" t="str">
        <f>VLOOKUP($B303,ma!$A:$B,2,0)</f>
        <v>PHONG VÂN - GÒ VẤP ( K BX )</v>
      </c>
      <c r="G303" s="102" t="s">
        <v>1864</v>
      </c>
      <c r="H303" s="103" t="s">
        <v>1704</v>
      </c>
      <c r="I303" s="104"/>
      <c r="J303" s="99"/>
      <c r="K303" s="106">
        <v>1.4</v>
      </c>
      <c r="L303" s="107">
        <v>50000</v>
      </c>
      <c r="M303" s="104"/>
      <c r="N303" s="101"/>
      <c r="O303" s="101">
        <v>1</v>
      </c>
      <c r="P303" s="104">
        <f>VLOOKUP($B303,ma!$A:$C,3,0)</f>
        <v>800000</v>
      </c>
      <c r="Q303" s="108">
        <v>880000</v>
      </c>
      <c r="R303" s="109">
        <v>0.1</v>
      </c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spans="1:27" ht="14">
      <c r="A304" s="97">
        <f t="shared" si="46"/>
        <v>13</v>
      </c>
      <c r="B304" s="98" t="s">
        <v>1632</v>
      </c>
      <c r="C304" s="99" t="s">
        <v>28</v>
      </c>
      <c r="D304" s="100">
        <v>46184</v>
      </c>
      <c r="E304" s="99" t="str">
        <f>VLOOKUP($C304,xe!$A:$B,2,0)</f>
        <v>50H-54580</v>
      </c>
      <c r="F304" s="101" t="str">
        <f>VLOOKUP($B304,ma!$A:$B,2,0)</f>
        <v>TẤN TƯỜNG</v>
      </c>
      <c r="G304" s="102" t="s">
        <v>1865</v>
      </c>
      <c r="H304" s="103" t="s">
        <v>1704</v>
      </c>
      <c r="I304" s="104"/>
      <c r="J304" s="99"/>
      <c r="K304" s="106">
        <v>1.8</v>
      </c>
      <c r="L304" s="107">
        <f t="shared" ref="L304:L311" si="48">K304*50000</f>
        <v>90000</v>
      </c>
      <c r="M304" s="104"/>
      <c r="N304" s="101"/>
      <c r="O304" s="101">
        <v>1</v>
      </c>
      <c r="P304" s="104">
        <f>VLOOKUP($B304,ma!$A:$C,3,0)</f>
        <v>800000</v>
      </c>
      <c r="Q304" s="108">
        <v>880000</v>
      </c>
      <c r="R304" s="109">
        <v>0.1</v>
      </c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spans="1:27" ht="14">
      <c r="A305" s="97">
        <f t="shared" si="46"/>
        <v>14</v>
      </c>
      <c r="B305" s="98" t="s">
        <v>467</v>
      </c>
      <c r="C305" s="99" t="s">
        <v>1695</v>
      </c>
      <c r="D305" s="100">
        <v>46184</v>
      </c>
      <c r="E305" s="99" t="str">
        <f>VLOOKUP($C305,xe!$A:$B,2,0)</f>
        <v>50H-64316</v>
      </c>
      <c r="F305" s="101" t="str">
        <f>VLOOKUP($B305,ma!$A:$B,2,0)</f>
        <v>Như Thùy</v>
      </c>
      <c r="G305" s="102" t="s">
        <v>1866</v>
      </c>
      <c r="H305" s="103" t="s">
        <v>1704</v>
      </c>
      <c r="I305" s="104"/>
      <c r="J305" s="99"/>
      <c r="K305" s="106">
        <v>1.2</v>
      </c>
      <c r="L305" s="107">
        <f t="shared" si="48"/>
        <v>60000</v>
      </c>
      <c r="M305" s="104"/>
      <c r="N305" s="101"/>
      <c r="O305" s="101">
        <v>1</v>
      </c>
      <c r="P305" s="104">
        <f>VLOOKUP($B305,ma!$A:$C,3,0)</f>
        <v>800000</v>
      </c>
      <c r="Q305" s="108">
        <v>880000</v>
      </c>
      <c r="R305" s="109">
        <v>0.1</v>
      </c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spans="1:27" ht="14">
      <c r="A306" s="97">
        <f t="shared" si="46"/>
        <v>15</v>
      </c>
      <c r="B306" s="98" t="s">
        <v>1635</v>
      </c>
      <c r="C306" s="99" t="s">
        <v>14</v>
      </c>
      <c r="D306" s="100">
        <v>46184</v>
      </c>
      <c r="E306" s="99" t="str">
        <f>VLOOKUP($C306,xe!$A:$B,2,0)</f>
        <v>51H -88294</v>
      </c>
      <c r="F306" s="101" t="str">
        <f>VLOOKUP($B306,ma!$A:$B,2,0)</f>
        <v>JOLIBEE</v>
      </c>
      <c r="G306" s="102" t="s">
        <v>1867</v>
      </c>
      <c r="H306" s="103" t="s">
        <v>1704</v>
      </c>
      <c r="I306" s="104"/>
      <c r="J306" s="99"/>
      <c r="K306" s="106">
        <v>1.6</v>
      </c>
      <c r="L306" s="107">
        <f t="shared" si="48"/>
        <v>80000</v>
      </c>
      <c r="M306" s="104"/>
      <c r="N306" s="101"/>
      <c r="O306" s="101">
        <v>1</v>
      </c>
      <c r="P306" s="104">
        <f>VLOOKUP($B306,ma!$A:$C,3,0)</f>
        <v>900000</v>
      </c>
      <c r="Q306" s="108">
        <v>990000</v>
      </c>
      <c r="R306" s="109">
        <v>0.1</v>
      </c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 spans="1:27" ht="14">
      <c r="A307" s="97">
        <f t="shared" si="46"/>
        <v>16</v>
      </c>
      <c r="B307" s="98" t="s">
        <v>1868</v>
      </c>
      <c r="C307" s="99" t="s">
        <v>12</v>
      </c>
      <c r="D307" s="100">
        <v>46184</v>
      </c>
      <c r="E307" s="99" t="str">
        <f>VLOOKUP($C307,xe!$A:$B,2,0)</f>
        <v>50E-164,61</v>
      </c>
      <c r="F307" s="101" t="str">
        <f>VLOOKUP($B307,ma!$A:$B,2,0)</f>
        <v>ABC BACKERRY Q6</v>
      </c>
      <c r="G307" s="102" t="s">
        <v>1869</v>
      </c>
      <c r="H307" s="103" t="s">
        <v>1704</v>
      </c>
      <c r="I307" s="104"/>
      <c r="J307" s="99"/>
      <c r="K307" s="106">
        <v>1.6</v>
      </c>
      <c r="L307" s="107">
        <f t="shared" si="48"/>
        <v>80000</v>
      </c>
      <c r="M307" s="104"/>
      <c r="N307" s="101"/>
      <c r="O307" s="101">
        <v>1</v>
      </c>
      <c r="P307" s="104">
        <f>VLOOKUP($B307,ma!$A:$C,3,0)</f>
        <v>800000</v>
      </c>
      <c r="Q307" s="108">
        <v>880000</v>
      </c>
      <c r="R307" s="109">
        <v>0.1</v>
      </c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spans="1:27" ht="14">
      <c r="A308" s="97">
        <f t="shared" si="46"/>
        <v>17</v>
      </c>
      <c r="B308" s="98" t="s">
        <v>1868</v>
      </c>
      <c r="C308" s="99" t="s">
        <v>1554</v>
      </c>
      <c r="D308" s="100">
        <v>46184</v>
      </c>
      <c r="E308" s="99" t="str">
        <f>VLOOKUP($C308,xe!$A:$B,2,0)</f>
        <v>50H-63174</v>
      </c>
      <c r="F308" s="101" t="str">
        <f>VLOOKUP($B308,ma!$A:$B,2,0)</f>
        <v>ABC BACKERRY Q6</v>
      </c>
      <c r="G308" s="102" t="s">
        <v>1870</v>
      </c>
      <c r="H308" s="103" t="s">
        <v>1704</v>
      </c>
      <c r="I308" s="104"/>
      <c r="J308" s="99"/>
      <c r="K308" s="106">
        <v>1.2</v>
      </c>
      <c r="L308" s="107">
        <f t="shared" si="48"/>
        <v>60000</v>
      </c>
      <c r="M308" s="104"/>
      <c r="N308" s="101"/>
      <c r="O308" s="101">
        <v>1</v>
      </c>
      <c r="P308" s="104">
        <f>VLOOKUP($B308,ma!$A:$C,3,0)</f>
        <v>800000</v>
      </c>
      <c r="Q308" s="108">
        <v>880000</v>
      </c>
      <c r="R308" s="109">
        <v>0.1</v>
      </c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spans="1:27" ht="14">
      <c r="A309" s="97">
        <f t="shared" si="46"/>
        <v>18</v>
      </c>
      <c r="B309" s="98" t="s">
        <v>1871</v>
      </c>
      <c r="C309" s="99" t="s">
        <v>22</v>
      </c>
      <c r="D309" s="100">
        <v>46184</v>
      </c>
      <c r="E309" s="99" t="str">
        <f>VLOOKUP($C309,xe!$A:$B,2,0)</f>
        <v>50H-66445</v>
      </c>
      <c r="F309" s="101" t="str">
        <f>VLOOKUP($B309,ma!$A:$B,2,0)</f>
        <v>VIVI CACA L.HẬU</v>
      </c>
      <c r="G309" s="102" t="s">
        <v>1872</v>
      </c>
      <c r="H309" s="103" t="s">
        <v>1704</v>
      </c>
      <c r="I309" s="104"/>
      <c r="J309" s="99"/>
      <c r="K309" s="106">
        <v>2</v>
      </c>
      <c r="L309" s="107">
        <f t="shared" si="48"/>
        <v>100000</v>
      </c>
      <c r="M309" s="104"/>
      <c r="N309" s="101"/>
      <c r="O309" s="101">
        <v>1</v>
      </c>
      <c r="P309" s="104">
        <f>VLOOKUP($B309,ma!$A:$C,3,0)</f>
        <v>500000</v>
      </c>
      <c r="Q309" s="108">
        <v>550000</v>
      </c>
      <c r="R309" s="109">
        <v>0.1</v>
      </c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spans="1:27" ht="14">
      <c r="A310" s="97">
        <f t="shared" si="46"/>
        <v>19</v>
      </c>
      <c r="B310" s="98" t="s">
        <v>1871</v>
      </c>
      <c r="C310" s="99" t="s">
        <v>1576</v>
      </c>
      <c r="D310" s="100">
        <v>46184</v>
      </c>
      <c r="E310" s="99" t="str">
        <f>VLOOKUP($C310,xe!$A:$B,2,0)</f>
        <v>50H-74619</v>
      </c>
      <c r="F310" s="101" t="str">
        <f>VLOOKUP($B310,ma!$A:$B,2,0)</f>
        <v>VIVI CACA L.HẬU</v>
      </c>
      <c r="G310" s="102" t="s">
        <v>1873</v>
      </c>
      <c r="H310" s="103" t="s">
        <v>1704</v>
      </c>
      <c r="I310" s="104"/>
      <c r="J310" s="99"/>
      <c r="K310" s="106">
        <v>2</v>
      </c>
      <c r="L310" s="107">
        <f t="shared" si="48"/>
        <v>100000</v>
      </c>
      <c r="M310" s="104"/>
      <c r="N310" s="101"/>
      <c r="O310" s="101">
        <v>1</v>
      </c>
      <c r="P310" s="104">
        <f>VLOOKUP($B310,ma!$A:$C,3,0)</f>
        <v>500000</v>
      </c>
      <c r="Q310" s="108">
        <v>550000</v>
      </c>
      <c r="R310" s="109">
        <v>0.1</v>
      </c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spans="1:27" ht="14">
      <c r="A311" s="97">
        <f t="shared" si="46"/>
        <v>20</v>
      </c>
      <c r="B311" s="98" t="s">
        <v>1871</v>
      </c>
      <c r="C311" s="99" t="s">
        <v>1549</v>
      </c>
      <c r="D311" s="100">
        <v>46184</v>
      </c>
      <c r="E311" s="99" t="str">
        <f>VLOOKUP($C311,xe!$A:$B,2,0)</f>
        <v>50H-55443</v>
      </c>
      <c r="F311" s="101" t="str">
        <f>VLOOKUP($B311,ma!$A:$B,2,0)</f>
        <v>VIVI CACA L.HẬU</v>
      </c>
      <c r="G311" s="102" t="s">
        <v>1874</v>
      </c>
      <c r="H311" s="103" t="s">
        <v>1704</v>
      </c>
      <c r="I311" s="104"/>
      <c r="J311" s="99"/>
      <c r="K311" s="106">
        <v>2</v>
      </c>
      <c r="L311" s="107">
        <f t="shared" si="48"/>
        <v>100000</v>
      </c>
      <c r="M311" s="104"/>
      <c r="N311" s="101"/>
      <c r="O311" s="101">
        <v>1</v>
      </c>
      <c r="P311" s="104">
        <f>VLOOKUP($B311,ma!$A:$C,3,0)</f>
        <v>500000</v>
      </c>
      <c r="Q311" s="108">
        <v>550000</v>
      </c>
      <c r="R311" s="109">
        <v>0.1</v>
      </c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spans="1:27" ht="14">
      <c r="A312" s="97">
        <f t="shared" si="46"/>
        <v>21</v>
      </c>
      <c r="B312" s="98" t="s">
        <v>533</v>
      </c>
      <c r="C312" s="99" t="s">
        <v>4</v>
      </c>
      <c r="D312" s="100">
        <v>46184</v>
      </c>
      <c r="E312" s="99" t="str">
        <f>VLOOKUP($C312,xe!$A:$B,2,0)</f>
        <v>50H-55116</v>
      </c>
      <c r="F312" s="101" t="str">
        <f>VLOOKUP($B312,ma!$A:$B,2,0)</f>
        <v>PHONG VÂN ( K BX )</v>
      </c>
      <c r="G312" s="102" t="s">
        <v>1875</v>
      </c>
      <c r="H312" s="103" t="s">
        <v>1704</v>
      </c>
      <c r="I312" s="104"/>
      <c r="J312" s="99"/>
      <c r="K312" s="106">
        <v>2</v>
      </c>
      <c r="L312" s="107">
        <v>50000</v>
      </c>
      <c r="M312" s="104"/>
      <c r="N312" s="101"/>
      <c r="O312" s="101">
        <v>1</v>
      </c>
      <c r="P312" s="104">
        <f>VLOOKUP($B312,ma!$A:$C,3,0)</f>
        <v>800000</v>
      </c>
      <c r="Q312" s="108">
        <v>880000</v>
      </c>
      <c r="R312" s="109">
        <v>0.1</v>
      </c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spans="1:27" ht="14">
      <c r="A313" s="97">
        <f t="shared" si="46"/>
        <v>22</v>
      </c>
      <c r="B313" s="98" t="s">
        <v>533</v>
      </c>
      <c r="C313" s="99" t="s">
        <v>1488</v>
      </c>
      <c r="D313" s="100">
        <v>46184</v>
      </c>
      <c r="E313" s="99" t="e">
        <f>VLOOKUP($C313,xe!$A:$B,2,0)</f>
        <v>#N/A</v>
      </c>
      <c r="F313" s="101" t="str">
        <f>VLOOKUP($B313,ma!$A:$B,2,0)</f>
        <v>PHONG VÂN ( K BX )</v>
      </c>
      <c r="G313" s="102" t="s">
        <v>1876</v>
      </c>
      <c r="H313" s="103" t="s">
        <v>1704</v>
      </c>
      <c r="I313" s="104"/>
      <c r="J313" s="99"/>
      <c r="K313" s="106">
        <v>1.8</v>
      </c>
      <c r="L313" s="107"/>
      <c r="M313" s="104"/>
      <c r="N313" s="101"/>
      <c r="O313" s="101">
        <v>1</v>
      </c>
      <c r="P313" s="104">
        <f>VLOOKUP($B313,ma!$A:$C,3,0)</f>
        <v>800000</v>
      </c>
      <c r="Q313" s="108">
        <v>880000</v>
      </c>
      <c r="R313" s="109">
        <v>0.1</v>
      </c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spans="1:27" ht="14">
      <c r="A314" s="97">
        <f t="shared" si="46"/>
        <v>23</v>
      </c>
      <c r="B314" s="98" t="s">
        <v>533</v>
      </c>
      <c r="C314" s="99" t="s">
        <v>1846</v>
      </c>
      <c r="D314" s="100">
        <v>46184</v>
      </c>
      <c r="E314" s="99" t="str">
        <f>VLOOKUP($C314,xe!$A:$B,2,0)</f>
        <v>50H-50999</v>
      </c>
      <c r="F314" s="101" t="str">
        <f>VLOOKUP($B314,ma!$A:$B,2,0)</f>
        <v>PHONG VÂN ( K BX )</v>
      </c>
      <c r="G314" s="102" t="s">
        <v>1877</v>
      </c>
      <c r="H314" s="103" t="s">
        <v>1704</v>
      </c>
      <c r="I314" s="104"/>
      <c r="J314" s="99"/>
      <c r="K314" s="106">
        <v>1.8</v>
      </c>
      <c r="L314" s="107">
        <v>50000</v>
      </c>
      <c r="M314" s="104"/>
      <c r="N314" s="101"/>
      <c r="O314" s="101">
        <v>1</v>
      </c>
      <c r="P314" s="104">
        <f>VLOOKUP($B314,ma!$A:$C,3,0)</f>
        <v>800000</v>
      </c>
      <c r="Q314" s="108">
        <v>880000</v>
      </c>
      <c r="R314" s="109">
        <v>0.1</v>
      </c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spans="1:27" ht="14">
      <c r="A315" s="97">
        <f t="shared" si="46"/>
        <v>24</v>
      </c>
      <c r="B315" s="98" t="s">
        <v>533</v>
      </c>
      <c r="C315" s="99" t="s">
        <v>1509</v>
      </c>
      <c r="D315" s="100">
        <v>46184</v>
      </c>
      <c r="E315" s="99" t="str">
        <f>VLOOKUP($C315,xe!$A:$B,2,0)</f>
        <v>50H-70216</v>
      </c>
      <c r="F315" s="101" t="str">
        <f>VLOOKUP($B315,ma!$A:$B,2,0)</f>
        <v>PHONG VÂN ( K BX )</v>
      </c>
      <c r="G315" s="102" t="s">
        <v>1878</v>
      </c>
      <c r="H315" s="103" t="s">
        <v>1704</v>
      </c>
      <c r="I315" s="104"/>
      <c r="J315" s="99"/>
      <c r="K315" s="106">
        <v>1.8</v>
      </c>
      <c r="L315" s="107">
        <v>50000</v>
      </c>
      <c r="M315" s="104"/>
      <c r="N315" s="101"/>
      <c r="O315" s="101">
        <v>1</v>
      </c>
      <c r="P315" s="104">
        <f>VLOOKUP($B315,ma!$A:$C,3,0)</f>
        <v>800000</v>
      </c>
      <c r="Q315" s="108">
        <v>880000</v>
      </c>
      <c r="R315" s="109">
        <v>0.1</v>
      </c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spans="1:27" ht="14">
      <c r="A316" s="97">
        <f t="shared" si="46"/>
        <v>25</v>
      </c>
      <c r="B316" s="98" t="s">
        <v>533</v>
      </c>
      <c r="C316" s="99" t="s">
        <v>24</v>
      </c>
      <c r="D316" s="100">
        <v>46184</v>
      </c>
      <c r="E316" s="99" t="str">
        <f>VLOOKUP($C316,xe!$A:$B,2,0)</f>
        <v>50H-55161</v>
      </c>
      <c r="F316" s="101" t="str">
        <f>VLOOKUP($B316,ma!$A:$B,2,0)</f>
        <v>PHONG VÂN ( K BX )</v>
      </c>
      <c r="G316" s="102" t="s">
        <v>1879</v>
      </c>
      <c r="H316" s="103" t="s">
        <v>1704</v>
      </c>
      <c r="I316" s="104"/>
      <c r="J316" s="99"/>
      <c r="K316" s="106">
        <v>1.6</v>
      </c>
      <c r="L316" s="107">
        <v>50000</v>
      </c>
      <c r="M316" s="104"/>
      <c r="N316" s="101"/>
      <c r="O316" s="101">
        <v>1</v>
      </c>
      <c r="P316" s="104">
        <f>VLOOKUP($B316,ma!$A:$C,3,0)</f>
        <v>800000</v>
      </c>
      <c r="Q316" s="108">
        <v>880000</v>
      </c>
      <c r="R316" s="109">
        <v>0.1</v>
      </c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spans="1:27" ht="14">
      <c r="A317" s="97">
        <f t="shared" si="46"/>
        <v>26</v>
      </c>
      <c r="B317" s="98" t="s">
        <v>533</v>
      </c>
      <c r="C317" s="99" t="s">
        <v>56</v>
      </c>
      <c r="D317" s="100">
        <v>46184</v>
      </c>
      <c r="E317" s="99" t="e">
        <f>VLOOKUP($C317,xe!$A:$B,2,0)</f>
        <v>#N/A</v>
      </c>
      <c r="F317" s="101" t="str">
        <f>VLOOKUP($B317,ma!$A:$B,2,0)</f>
        <v>PHONG VÂN ( K BX )</v>
      </c>
      <c r="G317" s="102" t="s">
        <v>1880</v>
      </c>
      <c r="H317" s="103" t="s">
        <v>1704</v>
      </c>
      <c r="I317" s="104"/>
      <c r="J317" s="99"/>
      <c r="K317" s="106">
        <v>1.8</v>
      </c>
      <c r="L317" s="107"/>
      <c r="M317" s="104"/>
      <c r="N317" s="101"/>
      <c r="O317" s="101">
        <v>1</v>
      </c>
      <c r="P317" s="104">
        <f>VLOOKUP($B317,ma!$A:$C,3,0)</f>
        <v>800000</v>
      </c>
      <c r="Q317" s="108">
        <v>880000</v>
      </c>
      <c r="R317" s="109">
        <v>0.1</v>
      </c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spans="1:27" ht="14">
      <c r="A318" s="97">
        <f t="shared" si="46"/>
        <v>27</v>
      </c>
      <c r="B318" s="98" t="s">
        <v>533</v>
      </c>
      <c r="C318" s="99" t="s">
        <v>62</v>
      </c>
      <c r="D318" s="100">
        <v>46184</v>
      </c>
      <c r="E318" s="114" t="e">
        <f>VLOOKUP($C318,xe!$A:$B,2,0)</f>
        <v>#N/A</v>
      </c>
      <c r="F318" s="101" t="str">
        <f>VLOOKUP($B318,ma!$A:$B,2,0)</f>
        <v>PHONG VÂN ( K BX )</v>
      </c>
      <c r="G318" s="102" t="s">
        <v>1881</v>
      </c>
      <c r="H318" s="103" t="s">
        <v>1704</v>
      </c>
      <c r="I318" s="104"/>
      <c r="J318" s="99"/>
      <c r="K318" s="106">
        <v>1.8</v>
      </c>
      <c r="L318" s="107"/>
      <c r="M318" s="104"/>
      <c r="N318" s="101"/>
      <c r="O318" s="101">
        <v>1</v>
      </c>
      <c r="P318" s="104">
        <f>VLOOKUP($B318,ma!$A:$C,3,0)</f>
        <v>800000</v>
      </c>
      <c r="Q318" s="108">
        <v>880000</v>
      </c>
      <c r="R318" s="109">
        <v>0.1</v>
      </c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spans="1:27" ht="14">
      <c r="A319" s="97">
        <f t="shared" si="46"/>
        <v>28</v>
      </c>
      <c r="B319" s="98" t="s">
        <v>593</v>
      </c>
      <c r="C319" s="99" t="s">
        <v>4</v>
      </c>
      <c r="D319" s="100">
        <v>46184</v>
      </c>
      <c r="E319" s="99" t="str">
        <f>VLOOKUP($C319,xe!$A:$B,2,0)</f>
        <v>50H-55116</v>
      </c>
      <c r="F319" s="101" t="str">
        <f>VLOOKUP($B319,ma!$A:$B,2,0)</f>
        <v>LIÊN NGUYỄN B.CHÁNH</v>
      </c>
      <c r="G319" s="102" t="s">
        <v>1882</v>
      </c>
      <c r="H319" s="103" t="s">
        <v>1704</v>
      </c>
      <c r="I319" s="104"/>
      <c r="J319" s="99"/>
      <c r="K319" s="106">
        <v>1.8</v>
      </c>
      <c r="L319" s="107">
        <f t="shared" ref="L319:L321" si="49">K319*50000</f>
        <v>90000</v>
      </c>
      <c r="M319" s="104"/>
      <c r="N319" s="101"/>
      <c r="O319" s="101">
        <v>1</v>
      </c>
      <c r="P319" s="104">
        <f>VLOOKUP($B319,ma!$A:$C,3,0)</f>
        <v>800000</v>
      </c>
      <c r="Q319" s="108">
        <v>880000</v>
      </c>
      <c r="R319" s="109">
        <v>0.1</v>
      </c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spans="1:27" ht="14">
      <c r="A320" s="97">
        <f t="shared" si="46"/>
        <v>29</v>
      </c>
      <c r="B320" s="98" t="s">
        <v>593</v>
      </c>
      <c r="C320" s="99" t="s">
        <v>28</v>
      </c>
      <c r="D320" s="100">
        <v>46184</v>
      </c>
      <c r="E320" s="99" t="str">
        <f>VLOOKUP($C320,xe!$A:$B,2,0)</f>
        <v>50H-54580</v>
      </c>
      <c r="F320" s="101" t="str">
        <f>VLOOKUP($B320,ma!$A:$B,2,0)</f>
        <v>LIÊN NGUYỄN B.CHÁNH</v>
      </c>
      <c r="G320" s="102" t="s">
        <v>1883</v>
      </c>
      <c r="H320" s="103" t="s">
        <v>1704</v>
      </c>
      <c r="I320" s="104"/>
      <c r="J320" s="99"/>
      <c r="K320" s="106">
        <v>1.8</v>
      </c>
      <c r="L320" s="107">
        <f t="shared" si="49"/>
        <v>90000</v>
      </c>
      <c r="M320" s="104"/>
      <c r="N320" s="101"/>
      <c r="O320" s="101">
        <v>1</v>
      </c>
      <c r="P320" s="104">
        <f>VLOOKUP($B320,ma!$A:$C,3,0)</f>
        <v>800000</v>
      </c>
      <c r="Q320" s="108">
        <v>880000</v>
      </c>
      <c r="R320" s="109">
        <v>0.1</v>
      </c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spans="1:27" ht="14">
      <c r="A321" s="97">
        <f t="shared" si="46"/>
        <v>30</v>
      </c>
      <c r="B321" s="98" t="s">
        <v>593</v>
      </c>
      <c r="C321" s="99" t="s">
        <v>22</v>
      </c>
      <c r="D321" s="100">
        <v>46184</v>
      </c>
      <c r="E321" s="99" t="str">
        <f>VLOOKUP($C321,xe!$A:$B,2,0)</f>
        <v>50H-66445</v>
      </c>
      <c r="F321" s="101" t="str">
        <f>VLOOKUP($B321,ma!$A:$B,2,0)</f>
        <v>LIÊN NGUYỄN B.CHÁNH</v>
      </c>
      <c r="G321" s="102" t="s">
        <v>1884</v>
      </c>
      <c r="H321" s="103" t="s">
        <v>1704</v>
      </c>
      <c r="I321" s="104"/>
      <c r="J321" s="99"/>
      <c r="K321" s="106">
        <v>1.8</v>
      </c>
      <c r="L321" s="107">
        <f t="shared" si="49"/>
        <v>90000</v>
      </c>
      <c r="M321" s="104"/>
      <c r="N321" s="101"/>
      <c r="O321" s="101">
        <v>1</v>
      </c>
      <c r="P321" s="104">
        <f>VLOOKUP($B321,ma!$A:$C,3,0)</f>
        <v>800000</v>
      </c>
      <c r="Q321" s="108">
        <v>880000</v>
      </c>
      <c r="R321" s="109">
        <v>0.1</v>
      </c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spans="1:27" ht="14">
      <c r="A322" s="97">
        <f t="shared" si="46"/>
        <v>31</v>
      </c>
      <c r="B322" s="98" t="s">
        <v>1707</v>
      </c>
      <c r="C322" s="99" t="s">
        <v>1570</v>
      </c>
      <c r="D322" s="100">
        <v>46184</v>
      </c>
      <c r="E322" s="99" t="str">
        <f>VLOOKUP($C322,xe!$A:$B,2,0)</f>
        <v>50H-66445</v>
      </c>
      <c r="F322" s="101" t="str">
        <f>VLOOKUP($B322,ma!$A:$B,2,0)</f>
        <v>XUÂN VÂN ( K BX )</v>
      </c>
      <c r="G322" s="102" t="s">
        <v>1885</v>
      </c>
      <c r="H322" s="103" t="s">
        <v>1704</v>
      </c>
      <c r="I322" s="104"/>
      <c r="J322" s="99"/>
      <c r="K322" s="106">
        <v>2</v>
      </c>
      <c r="L322" s="107">
        <v>50000</v>
      </c>
      <c r="M322" s="104"/>
      <c r="N322" s="101"/>
      <c r="O322" s="101">
        <v>1</v>
      </c>
      <c r="P322" s="104">
        <f>VLOOKUP($B322,ma!$A:$C,3,0)</f>
        <v>800000</v>
      </c>
      <c r="Q322" s="108">
        <v>880000</v>
      </c>
      <c r="R322" s="109">
        <v>0.1</v>
      </c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spans="1:27" ht="14">
      <c r="A323" s="97">
        <f t="shared" si="46"/>
        <v>32</v>
      </c>
      <c r="B323" s="98" t="s">
        <v>1707</v>
      </c>
      <c r="C323" s="99" t="s">
        <v>1488</v>
      </c>
      <c r="D323" s="100">
        <v>46184</v>
      </c>
      <c r="E323" s="99" t="e">
        <f>VLOOKUP($C323,xe!$A:$B,2,0)</f>
        <v>#N/A</v>
      </c>
      <c r="F323" s="101" t="str">
        <f>VLOOKUP($B323,ma!$A:$B,2,0)</f>
        <v>XUÂN VÂN ( K BX )</v>
      </c>
      <c r="G323" s="102" t="s">
        <v>1886</v>
      </c>
      <c r="H323" s="103" t="s">
        <v>1704</v>
      </c>
      <c r="I323" s="104"/>
      <c r="J323" s="99"/>
      <c r="K323" s="106">
        <v>2</v>
      </c>
      <c r="L323" s="107"/>
      <c r="M323" s="104"/>
      <c r="N323" s="101"/>
      <c r="O323" s="101">
        <v>1</v>
      </c>
      <c r="P323" s="104">
        <f>VLOOKUP($B323,ma!$A:$C,3,0)</f>
        <v>800000</v>
      </c>
      <c r="Q323" s="108">
        <v>880000</v>
      </c>
      <c r="R323" s="109">
        <v>0.1</v>
      </c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spans="1:27" ht="14">
      <c r="A324" s="97">
        <f t="shared" si="46"/>
        <v>33</v>
      </c>
      <c r="B324" s="98" t="s">
        <v>1887</v>
      </c>
      <c r="C324" s="99" t="s">
        <v>63</v>
      </c>
      <c r="D324" s="100">
        <v>46184</v>
      </c>
      <c r="E324" s="99" t="e">
        <f>VLOOKUP($C324,xe!$A:$B,2,0)</f>
        <v>#N/A</v>
      </c>
      <c r="F324" s="101" t="str">
        <f>VLOOKUP($B324,ma!$A:$B,2,0)</f>
        <v>N.HƯNG Q.6</v>
      </c>
      <c r="G324" s="102" t="s">
        <v>1888</v>
      </c>
      <c r="H324" s="103" t="s">
        <v>1704</v>
      </c>
      <c r="I324" s="104"/>
      <c r="J324" s="105" t="s">
        <v>119</v>
      </c>
      <c r="K324" s="106">
        <v>1.9</v>
      </c>
      <c r="L324" s="107">
        <f>K324*50000</f>
        <v>95000</v>
      </c>
      <c r="M324" s="104"/>
      <c r="N324" s="101"/>
      <c r="O324" s="101">
        <v>1</v>
      </c>
      <c r="P324" s="104">
        <f>VLOOKUP($B324,ma!$A:$C,3,0)</f>
        <v>800000</v>
      </c>
      <c r="Q324" s="108">
        <v>880000</v>
      </c>
      <c r="R324" s="109">
        <v>0.1</v>
      </c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spans="1:27" ht="14">
      <c r="A325" s="97">
        <f t="shared" si="46"/>
        <v>34</v>
      </c>
      <c r="B325" s="98" t="s">
        <v>897</v>
      </c>
      <c r="C325" s="99" t="s">
        <v>1554</v>
      </c>
      <c r="D325" s="100">
        <v>46184</v>
      </c>
      <c r="E325" s="99" t="str">
        <f>VLOOKUP($C325,xe!$A:$B,2,0)</f>
        <v>50H-63174</v>
      </c>
      <c r="F325" s="101" t="str">
        <f>VLOOKUP($B325,ma!$A:$B,2,0)</f>
        <v>V.HẬU LÂM BD ( K BX)</v>
      </c>
      <c r="G325" s="102" t="s">
        <v>1499</v>
      </c>
      <c r="H325" s="103" t="s">
        <v>1499</v>
      </c>
      <c r="I325" s="104"/>
      <c r="J325" s="99"/>
      <c r="K325" s="106">
        <v>2.2000000000000002</v>
      </c>
      <c r="L325" s="107">
        <v>50000</v>
      </c>
      <c r="M325" s="104"/>
      <c r="N325" s="101"/>
      <c r="O325" s="101">
        <v>1</v>
      </c>
      <c r="P325" s="104">
        <f>VLOOKUP($B325,ma!$A:$C,3,0)</f>
        <v>900000</v>
      </c>
      <c r="Q325" s="108">
        <v>990000</v>
      </c>
      <c r="R325" s="109">
        <v>0.1</v>
      </c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spans="1:27" ht="14">
      <c r="A326" s="97">
        <f t="shared" si="46"/>
        <v>35</v>
      </c>
      <c r="B326" s="98" t="s">
        <v>957</v>
      </c>
      <c r="C326" s="99" t="s">
        <v>26</v>
      </c>
      <c r="D326" s="100">
        <v>46184</v>
      </c>
      <c r="E326" s="99" t="str">
        <f>VLOOKUP($C326,xe!$A:$B,2,0)</f>
        <v>50H-55443</v>
      </c>
      <c r="F326" s="101" t="str">
        <f>VLOOKUP($B326,ma!$A:$B,2,0)</f>
        <v>M. BÌNH PHÚ</v>
      </c>
      <c r="G326" s="102" t="s">
        <v>1889</v>
      </c>
      <c r="H326" s="103" t="s">
        <v>1704</v>
      </c>
      <c r="I326" s="104"/>
      <c r="J326" s="105" t="s">
        <v>1890</v>
      </c>
      <c r="K326" s="106">
        <v>2.4</v>
      </c>
      <c r="L326" s="107">
        <f t="shared" ref="L326:L327" si="50">K326*50000</f>
        <v>120000</v>
      </c>
      <c r="M326" s="104"/>
      <c r="N326" s="101"/>
      <c r="O326" s="101">
        <v>1</v>
      </c>
      <c r="P326" s="104">
        <f>VLOOKUP($B326,ma!$A:$C,3,0)</f>
        <v>800000</v>
      </c>
      <c r="Q326" s="108">
        <v>880000</v>
      </c>
      <c r="R326" s="109">
        <v>0.1</v>
      </c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spans="1:27" ht="14">
      <c r="A327" s="97">
        <f t="shared" si="46"/>
        <v>36</v>
      </c>
      <c r="B327" s="98" t="s">
        <v>957</v>
      </c>
      <c r="C327" s="99" t="s">
        <v>14</v>
      </c>
      <c r="D327" s="100">
        <v>46184</v>
      </c>
      <c r="E327" s="99" t="str">
        <f>VLOOKUP($C327,xe!$A:$B,2,0)</f>
        <v>51H -88294</v>
      </c>
      <c r="F327" s="101" t="str">
        <f>VLOOKUP($B327,ma!$A:$B,2,0)</f>
        <v>M. BÌNH PHÚ</v>
      </c>
      <c r="G327" s="102" t="s">
        <v>1891</v>
      </c>
      <c r="H327" s="103" t="s">
        <v>1704</v>
      </c>
      <c r="I327" s="104"/>
      <c r="J327" s="99"/>
      <c r="K327" s="106">
        <v>1.6</v>
      </c>
      <c r="L327" s="107">
        <f t="shared" si="50"/>
        <v>80000</v>
      </c>
      <c r="M327" s="104"/>
      <c r="N327" s="101"/>
      <c r="O327" s="101">
        <v>1</v>
      </c>
      <c r="P327" s="104">
        <f>VLOOKUP($B327,ma!$A:$C,3,0)</f>
        <v>800000</v>
      </c>
      <c r="Q327" s="108">
        <v>880000</v>
      </c>
      <c r="R327" s="109">
        <v>0.1</v>
      </c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spans="1:27" ht="14">
      <c r="A328" s="97">
        <f t="shared" si="46"/>
        <v>37</v>
      </c>
      <c r="B328" s="98" t="s">
        <v>1117</v>
      </c>
      <c r="C328" s="99" t="s">
        <v>1717</v>
      </c>
      <c r="D328" s="100">
        <v>46184</v>
      </c>
      <c r="E328" s="99" t="str">
        <f>VLOOKUP($C328,xe!$A:$B,2,0)</f>
        <v>50E-164,61</v>
      </c>
      <c r="F328" s="101" t="str">
        <f>VLOOKUP($B328,ma!$A:$B,2,0)</f>
        <v>BHX CẦN ĐƯỚC</v>
      </c>
      <c r="G328" s="102" t="s">
        <v>1892</v>
      </c>
      <c r="H328" s="103" t="s">
        <v>1704</v>
      </c>
      <c r="I328" s="104"/>
      <c r="J328" s="99"/>
      <c r="K328" s="106">
        <v>1.6</v>
      </c>
      <c r="L328" s="113">
        <v>210000</v>
      </c>
      <c r="M328" s="104"/>
      <c r="N328" s="101"/>
      <c r="O328" s="101">
        <v>1</v>
      </c>
      <c r="P328" s="104">
        <f>VLOOKUP($B328,ma!$A:$C,3,0)</f>
        <v>900000</v>
      </c>
      <c r="Q328" s="108">
        <v>990000</v>
      </c>
      <c r="R328" s="109">
        <v>0.1</v>
      </c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spans="1:27" ht="14">
      <c r="A329" s="97">
        <f t="shared" si="46"/>
        <v>38</v>
      </c>
      <c r="B329" s="98" t="s">
        <v>1067</v>
      </c>
      <c r="C329" s="99" t="s">
        <v>18</v>
      </c>
      <c r="D329" s="100">
        <v>46184</v>
      </c>
      <c r="E329" s="99" t="str">
        <f>VLOOKUP($C329,xe!$A:$B,2,0)</f>
        <v>50H 87442</v>
      </c>
      <c r="F329" s="101" t="str">
        <f>VLOOKUP($B329,ma!$A:$B,2,0)</f>
        <v>BC GÒ VẤP</v>
      </c>
      <c r="G329" s="102" t="s">
        <v>1893</v>
      </c>
      <c r="H329" s="103" t="s">
        <v>1704</v>
      </c>
      <c r="I329" s="104"/>
      <c r="J329" s="99"/>
      <c r="K329" s="106">
        <v>1.6</v>
      </c>
      <c r="L329" s="107">
        <f t="shared" ref="L329:L337" si="51">K329*50000</f>
        <v>80000</v>
      </c>
      <c r="M329" s="104"/>
      <c r="N329" s="101"/>
      <c r="O329" s="101">
        <v>1</v>
      </c>
      <c r="P329" s="104">
        <f>VLOOKUP($B329,ma!$A:$C,3,0)</f>
        <v>800000</v>
      </c>
      <c r="Q329" s="108">
        <v>880000</v>
      </c>
      <c r="R329" s="109">
        <v>0.1</v>
      </c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 spans="1:27" ht="14">
      <c r="A330" s="97">
        <f t="shared" si="46"/>
        <v>39</v>
      </c>
      <c r="B330" s="98" t="s">
        <v>1067</v>
      </c>
      <c r="C330" s="99" t="s">
        <v>16</v>
      </c>
      <c r="D330" s="100">
        <v>46184</v>
      </c>
      <c r="E330" s="99" t="str">
        <f>VLOOKUP($C330,xe!$A:$B,2,0)</f>
        <v>50H-74619</v>
      </c>
      <c r="F330" s="101" t="str">
        <f>VLOOKUP($B330,ma!$A:$B,2,0)</f>
        <v>BC GÒ VẤP</v>
      </c>
      <c r="G330" s="102" t="s">
        <v>1894</v>
      </c>
      <c r="H330" s="103" t="s">
        <v>1704</v>
      </c>
      <c r="I330" s="104"/>
      <c r="J330" s="99"/>
      <c r="K330" s="106">
        <v>1.4</v>
      </c>
      <c r="L330" s="107">
        <f t="shared" si="51"/>
        <v>70000</v>
      </c>
      <c r="M330" s="104"/>
      <c r="N330" s="101"/>
      <c r="O330" s="101">
        <v>1</v>
      </c>
      <c r="P330" s="104">
        <f>VLOOKUP($B330,ma!$A:$C,3,0)</f>
        <v>800000</v>
      </c>
      <c r="Q330" s="108">
        <v>880000</v>
      </c>
      <c r="R330" s="109">
        <v>0.1</v>
      </c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spans="1:27" ht="14">
      <c r="A331" s="97">
        <f t="shared" si="46"/>
        <v>40</v>
      </c>
      <c r="B331" s="98" t="s">
        <v>1578</v>
      </c>
      <c r="C331" s="99" t="s">
        <v>6</v>
      </c>
      <c r="D331" s="100">
        <v>46184</v>
      </c>
      <c r="E331" s="99" t="str">
        <f>VLOOKUP($C331,xe!$A:$B,2,0)</f>
        <v>50H-69501</v>
      </c>
      <c r="F331" s="101" t="str">
        <f>VLOOKUP($B331,ma!$A:$B,2,0)</f>
        <v>CALOFIC - UNI ( xe nhỏ )</v>
      </c>
      <c r="G331" s="102"/>
      <c r="H331" s="103"/>
      <c r="I331" s="104"/>
      <c r="J331" s="99"/>
      <c r="K331" s="106"/>
      <c r="L331" s="107">
        <f t="shared" si="51"/>
        <v>0</v>
      </c>
      <c r="M331" s="104"/>
      <c r="N331" s="101"/>
      <c r="O331" s="101">
        <v>1</v>
      </c>
      <c r="P331" s="104">
        <f>VLOOKUP($B331,ma!$A:$C,3,0)</f>
        <v>300000</v>
      </c>
      <c r="Q331" s="108">
        <v>880000</v>
      </c>
      <c r="R331" s="109">
        <v>0.1</v>
      </c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spans="1:27" ht="14">
      <c r="A332" s="116">
        <v>1</v>
      </c>
      <c r="B332" s="117" t="s">
        <v>1153</v>
      </c>
      <c r="C332" s="118" t="s">
        <v>55</v>
      </c>
      <c r="D332" s="119">
        <v>46185</v>
      </c>
      <c r="E332" s="118" t="e">
        <f>VLOOKUP($C332,xe!$A:$B,2,0)</f>
        <v>#N/A</v>
      </c>
      <c r="F332" s="120" t="str">
        <f>VLOOKUP($B332,ma!$A:$B,2,0)</f>
        <v>E MART P.V.TRỊ</v>
      </c>
      <c r="G332" s="121" t="s">
        <v>1895</v>
      </c>
      <c r="H332" s="122" t="s">
        <v>1704</v>
      </c>
      <c r="I332" s="123"/>
      <c r="J332" s="105" t="s">
        <v>119</v>
      </c>
      <c r="K332" s="124">
        <v>1.6</v>
      </c>
      <c r="L332" s="125">
        <f t="shared" si="51"/>
        <v>80000</v>
      </c>
      <c r="M332" s="123"/>
      <c r="N332" s="120"/>
      <c r="O332" s="120">
        <v>1</v>
      </c>
      <c r="P332" s="123">
        <f>VLOOKUP($B332,ma!$A:$C,3,0)</f>
        <v>800000</v>
      </c>
      <c r="Q332" s="108">
        <v>880000</v>
      </c>
      <c r="R332" s="109">
        <v>0.1</v>
      </c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 spans="1:27" ht="14">
      <c r="A333" s="97">
        <f t="shared" ref="A333:A364" si="52">A332+1</f>
        <v>2</v>
      </c>
      <c r="B333" s="98" t="s">
        <v>1153</v>
      </c>
      <c r="C333" s="99" t="s">
        <v>64</v>
      </c>
      <c r="D333" s="100">
        <v>46185</v>
      </c>
      <c r="E333" s="99" t="e">
        <f>VLOOKUP($C333,xe!$A:$B,2,0)</f>
        <v>#N/A</v>
      </c>
      <c r="F333" s="101" t="str">
        <f>VLOOKUP($B333,ma!$A:$B,2,0)</f>
        <v>E MART P.V.TRỊ</v>
      </c>
      <c r="G333" s="102" t="s">
        <v>1896</v>
      </c>
      <c r="H333" s="103" t="s">
        <v>1704</v>
      </c>
      <c r="I333" s="104"/>
      <c r="J333" s="105" t="s">
        <v>119</v>
      </c>
      <c r="K333" s="106">
        <v>1.6</v>
      </c>
      <c r="L333" s="107">
        <f t="shared" si="51"/>
        <v>80000</v>
      </c>
      <c r="M333" s="104"/>
      <c r="N333" s="101"/>
      <c r="O333" s="101">
        <v>1</v>
      </c>
      <c r="P333" s="104">
        <f>VLOOKUP($B333,ma!$A:$C,3,0)</f>
        <v>800000</v>
      </c>
      <c r="Q333" s="108">
        <v>880000</v>
      </c>
      <c r="R333" s="109">
        <v>0.1</v>
      </c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spans="1:27" ht="14">
      <c r="A334" s="97">
        <f t="shared" si="52"/>
        <v>3</v>
      </c>
      <c r="B334" s="98" t="s">
        <v>1153</v>
      </c>
      <c r="C334" s="99" t="s">
        <v>56</v>
      </c>
      <c r="D334" s="100">
        <v>46185</v>
      </c>
      <c r="E334" s="99" t="e">
        <f>VLOOKUP($C334,xe!$A:$B,2,0)</f>
        <v>#N/A</v>
      </c>
      <c r="F334" s="101" t="str">
        <f>VLOOKUP($B334,ma!$A:$B,2,0)</f>
        <v>E MART P.V.TRỊ</v>
      </c>
      <c r="G334" s="102" t="s">
        <v>1897</v>
      </c>
      <c r="H334" s="103" t="s">
        <v>1704</v>
      </c>
      <c r="I334" s="104"/>
      <c r="J334" s="105" t="s">
        <v>119</v>
      </c>
      <c r="K334" s="106">
        <v>1.6</v>
      </c>
      <c r="L334" s="107">
        <f t="shared" si="51"/>
        <v>80000</v>
      </c>
      <c r="M334" s="104"/>
      <c r="N334" s="101"/>
      <c r="O334" s="101">
        <v>1</v>
      </c>
      <c r="P334" s="104">
        <f>VLOOKUP($B334,ma!$A:$C,3,0)</f>
        <v>800000</v>
      </c>
      <c r="Q334" s="108">
        <v>880000</v>
      </c>
      <c r="R334" s="109">
        <v>0.1</v>
      </c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spans="1:27" ht="14">
      <c r="A335" s="97">
        <f t="shared" si="52"/>
        <v>4</v>
      </c>
      <c r="B335" s="98" t="s">
        <v>1067</v>
      </c>
      <c r="C335" s="99" t="s">
        <v>61</v>
      </c>
      <c r="D335" s="100">
        <v>46185</v>
      </c>
      <c r="E335" s="99" t="e">
        <f>VLOOKUP($C335,xe!$A:$B,2,0)</f>
        <v>#N/A</v>
      </c>
      <c r="F335" s="101" t="str">
        <f>VLOOKUP($B335,ma!$A:$B,2,0)</f>
        <v>BC GÒ VẤP</v>
      </c>
      <c r="G335" s="102" t="s">
        <v>1898</v>
      </c>
      <c r="H335" s="103" t="s">
        <v>1704</v>
      </c>
      <c r="I335" s="104"/>
      <c r="J335" s="126" t="s">
        <v>1520</v>
      </c>
      <c r="K335" s="106">
        <v>2.2000000000000002</v>
      </c>
      <c r="L335" s="107">
        <f t="shared" si="51"/>
        <v>110000.00000000001</v>
      </c>
      <c r="M335" s="104"/>
      <c r="N335" s="101"/>
      <c r="O335" s="101">
        <v>1</v>
      </c>
      <c r="P335" s="104">
        <f>VLOOKUP($B335,ma!$A:$C,3,0)</f>
        <v>800000</v>
      </c>
      <c r="Q335" s="108">
        <v>880000</v>
      </c>
      <c r="R335" s="109">
        <v>0.1</v>
      </c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spans="1:27" ht="14">
      <c r="A336" s="97">
        <f t="shared" si="52"/>
        <v>5</v>
      </c>
      <c r="B336" s="98" t="s">
        <v>1067</v>
      </c>
      <c r="C336" s="99" t="s">
        <v>58</v>
      </c>
      <c r="D336" s="100">
        <v>46185</v>
      </c>
      <c r="E336" s="99" t="e">
        <f>VLOOKUP($C336,xe!$A:$B,2,0)</f>
        <v>#N/A</v>
      </c>
      <c r="F336" s="101" t="str">
        <f>VLOOKUP($B336,ma!$A:$B,2,0)</f>
        <v>BC GÒ VẤP</v>
      </c>
      <c r="G336" s="102" t="s">
        <v>1899</v>
      </c>
      <c r="H336" s="103" t="s">
        <v>1704</v>
      </c>
      <c r="I336" s="104"/>
      <c r="J336" s="126" t="s">
        <v>1520</v>
      </c>
      <c r="K336" s="106">
        <v>2.2000000000000002</v>
      </c>
      <c r="L336" s="107">
        <f t="shared" si="51"/>
        <v>110000.00000000001</v>
      </c>
      <c r="M336" s="104"/>
      <c r="N336" s="101"/>
      <c r="O336" s="101">
        <v>1</v>
      </c>
      <c r="P336" s="104">
        <f>VLOOKUP($B336,ma!$A:$C,3,0)</f>
        <v>800000</v>
      </c>
      <c r="Q336" s="108">
        <v>880000</v>
      </c>
      <c r="R336" s="109">
        <v>0.1</v>
      </c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spans="1:27" ht="14">
      <c r="A337" s="97">
        <f t="shared" si="52"/>
        <v>6</v>
      </c>
      <c r="B337" s="98" t="s">
        <v>1531</v>
      </c>
      <c r="C337" s="99" t="s">
        <v>57</v>
      </c>
      <c r="D337" s="100">
        <v>46185</v>
      </c>
      <c r="E337" s="99" t="e">
        <f>VLOOKUP($C337,xe!$A:$B,2,0)</f>
        <v>#N/A</v>
      </c>
      <c r="F337" s="101" t="str">
        <f>VLOOKUP($B337,ma!$A:$B,2,0)</f>
        <v>SATRA VIETTEL</v>
      </c>
      <c r="G337" s="102" t="s">
        <v>1900</v>
      </c>
      <c r="H337" s="103" t="s">
        <v>1704</v>
      </c>
      <c r="I337" s="104"/>
      <c r="J337" s="99"/>
      <c r="K337" s="106">
        <v>1.8</v>
      </c>
      <c r="L337" s="107">
        <f t="shared" si="51"/>
        <v>90000</v>
      </c>
      <c r="M337" s="104"/>
      <c r="N337" s="101"/>
      <c r="O337" s="101">
        <v>1</v>
      </c>
      <c r="P337" s="104">
        <f>VLOOKUP($B337,ma!$A:$C,3,0)</f>
        <v>800000</v>
      </c>
      <c r="Q337" s="108">
        <v>880000</v>
      </c>
      <c r="R337" s="109">
        <v>0.1</v>
      </c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spans="1:27" ht="14">
      <c r="A338" s="97">
        <f t="shared" si="52"/>
        <v>7</v>
      </c>
      <c r="B338" s="98" t="s">
        <v>287</v>
      </c>
      <c r="C338" s="99" t="s">
        <v>62</v>
      </c>
      <c r="D338" s="100">
        <v>46185</v>
      </c>
      <c r="E338" s="114" t="e">
        <f>VLOOKUP($C338,xe!$A:$B,2,0)</f>
        <v>#N/A</v>
      </c>
      <c r="F338" s="101" t="str">
        <f>VLOOKUP($B338,ma!$A:$B,2,0)</f>
        <v>ANFOOD Q12 ( K BX )</v>
      </c>
      <c r="G338" s="102" t="s">
        <v>1901</v>
      </c>
      <c r="H338" s="103" t="s">
        <v>1704</v>
      </c>
      <c r="I338" s="104"/>
      <c r="J338" s="99"/>
      <c r="K338" s="106">
        <v>1.8</v>
      </c>
      <c r="L338" s="107"/>
      <c r="M338" s="104"/>
      <c r="N338" s="101"/>
      <c r="O338" s="101">
        <v>1</v>
      </c>
      <c r="P338" s="104">
        <f>VLOOKUP($B338,ma!$A:$C,3,0)</f>
        <v>800000</v>
      </c>
      <c r="Q338" s="108">
        <v>880000</v>
      </c>
      <c r="R338" s="109">
        <v>0.1</v>
      </c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spans="1:27" ht="14">
      <c r="A339" s="97">
        <f t="shared" si="52"/>
        <v>8</v>
      </c>
      <c r="B339" s="98" t="s">
        <v>913</v>
      </c>
      <c r="C339" s="99" t="s">
        <v>4</v>
      </c>
      <c r="D339" s="100">
        <v>46185</v>
      </c>
      <c r="E339" s="99" t="str">
        <f>VLOOKUP($C339,xe!$A:$B,2,0)</f>
        <v>50H-55116</v>
      </c>
      <c r="F339" s="101" t="str">
        <f>VLOOKUP($B339,ma!$A:$B,2,0)</f>
        <v>XUÂN VÂN ( K BX )</v>
      </c>
      <c r="G339" s="102" t="s">
        <v>1902</v>
      </c>
      <c r="H339" s="103" t="s">
        <v>1704</v>
      </c>
      <c r="I339" s="104"/>
      <c r="J339" s="99"/>
      <c r="K339" s="106">
        <v>2</v>
      </c>
      <c r="L339" s="107">
        <v>50000</v>
      </c>
      <c r="M339" s="104"/>
      <c r="N339" s="101"/>
      <c r="O339" s="101">
        <v>1</v>
      </c>
      <c r="P339" s="104">
        <f>VLOOKUP($B339,ma!$A:$C,3,0)</f>
        <v>800000</v>
      </c>
      <c r="Q339" s="108">
        <v>880000</v>
      </c>
      <c r="R339" s="109">
        <v>0.1</v>
      </c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spans="1:27" ht="14">
      <c r="A340" s="97">
        <f t="shared" si="52"/>
        <v>9</v>
      </c>
      <c r="B340" s="98" t="s">
        <v>452</v>
      </c>
      <c r="C340" s="99" t="s">
        <v>1570</v>
      </c>
      <c r="D340" s="100">
        <v>46185</v>
      </c>
      <c r="E340" s="99" t="str">
        <f>VLOOKUP($C340,xe!$A:$B,2,0)</f>
        <v>50H-66445</v>
      </c>
      <c r="F340" s="101" t="str">
        <f>VLOOKUP($B340,ma!$A:$B,2,0)</f>
        <v>NGUYỄN TRƯƠNG</v>
      </c>
      <c r="G340" s="102" t="s">
        <v>1903</v>
      </c>
      <c r="H340" s="103" t="s">
        <v>1704</v>
      </c>
      <c r="I340" s="104"/>
      <c r="J340" s="99"/>
      <c r="K340" s="106">
        <v>1.2</v>
      </c>
      <c r="L340" s="107">
        <f t="shared" ref="L340:L343" si="53">K340*50000</f>
        <v>60000</v>
      </c>
      <c r="M340" s="104"/>
      <c r="N340" s="101"/>
      <c r="O340" s="101">
        <v>1</v>
      </c>
      <c r="P340" s="104">
        <f>VLOOKUP($B340,ma!$A:$C,3,0)</f>
        <v>800000</v>
      </c>
      <c r="Q340" s="108">
        <v>880000</v>
      </c>
      <c r="R340" s="109">
        <v>0.1</v>
      </c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spans="1:27" ht="14">
      <c r="A341" s="97">
        <f t="shared" si="52"/>
        <v>10</v>
      </c>
      <c r="B341" s="98" t="s">
        <v>734</v>
      </c>
      <c r="C341" s="99" t="s">
        <v>28</v>
      </c>
      <c r="D341" s="100">
        <v>46185</v>
      </c>
      <c r="E341" s="99" t="str">
        <f>VLOOKUP($C341,xe!$A:$B,2,0)</f>
        <v>50H-54580</v>
      </c>
      <c r="F341" s="101" t="str">
        <f>VLOOKUP($B341,ma!$A:$B,2,0)</f>
        <v>HỒNG Á ( K BX )</v>
      </c>
      <c r="G341" s="102" t="s">
        <v>1904</v>
      </c>
      <c r="H341" s="103" t="s">
        <v>1704</v>
      </c>
      <c r="I341" s="104"/>
      <c r="J341" s="105" t="s">
        <v>1540</v>
      </c>
      <c r="K341" s="106">
        <v>2.4</v>
      </c>
      <c r="L341" s="107">
        <f t="shared" si="53"/>
        <v>120000</v>
      </c>
      <c r="M341" s="104"/>
      <c r="N341" s="101"/>
      <c r="O341" s="101">
        <v>1</v>
      </c>
      <c r="P341" s="104">
        <f>VLOOKUP($B341,ma!$A:$C,3,0)</f>
        <v>800000</v>
      </c>
      <c r="Q341" s="108">
        <v>1460000</v>
      </c>
      <c r="R341" s="109">
        <v>0.1</v>
      </c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spans="1:27" ht="14">
      <c r="A342" s="97">
        <f t="shared" si="52"/>
        <v>11</v>
      </c>
      <c r="B342" s="98" t="s">
        <v>1537</v>
      </c>
      <c r="C342" s="99" t="s">
        <v>1846</v>
      </c>
      <c r="D342" s="100">
        <v>46185</v>
      </c>
      <c r="E342" s="99" t="str">
        <f>VLOOKUP($C342,xe!$A:$B,2,0)</f>
        <v>50H-50999</v>
      </c>
      <c r="F342" s="101" t="str">
        <f>VLOOKUP($B342,ma!$A:$B,2,0)</f>
        <v>MN VĨNH THẠNH</v>
      </c>
      <c r="G342" s="102" t="s">
        <v>1905</v>
      </c>
      <c r="H342" s="103" t="s">
        <v>1906</v>
      </c>
      <c r="I342" s="104"/>
      <c r="J342" s="105" t="s">
        <v>1907</v>
      </c>
      <c r="K342" s="106">
        <v>1</v>
      </c>
      <c r="L342" s="107">
        <f t="shared" si="53"/>
        <v>50000</v>
      </c>
      <c r="M342" s="104"/>
      <c r="N342" s="101"/>
      <c r="O342" s="101">
        <v>1</v>
      </c>
      <c r="P342" s="104">
        <f>VLOOKUP($B342,ma!$A:$C,3,0)</f>
        <v>800000</v>
      </c>
      <c r="Q342" s="108">
        <v>300000</v>
      </c>
      <c r="R342" s="109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spans="1:27" ht="14">
      <c r="A343" s="97">
        <f t="shared" si="52"/>
        <v>12</v>
      </c>
      <c r="B343" s="98" t="s">
        <v>571</v>
      </c>
      <c r="C343" s="99" t="s">
        <v>1695</v>
      </c>
      <c r="D343" s="100">
        <v>46185</v>
      </c>
      <c r="E343" s="99" t="str">
        <f>VLOOKUP($C343,xe!$A:$B,2,0)</f>
        <v>50H-64316</v>
      </c>
      <c r="F343" s="101" t="str">
        <f>VLOOKUP($B343,ma!$A:$B,2,0)</f>
        <v>LÊ GIA THỦ ĐỨC</v>
      </c>
      <c r="G343" s="102" t="s">
        <v>1908</v>
      </c>
      <c r="H343" s="103" t="s">
        <v>1704</v>
      </c>
      <c r="I343" s="104"/>
      <c r="J343" s="99"/>
      <c r="K343" s="106">
        <v>1.4</v>
      </c>
      <c r="L343" s="107">
        <f t="shared" si="53"/>
        <v>70000</v>
      </c>
      <c r="M343" s="104"/>
      <c r="N343" s="101"/>
      <c r="O343" s="101">
        <v>1</v>
      </c>
      <c r="P343" s="104">
        <f>VLOOKUP($B343,ma!$A:$C,3,0)</f>
        <v>800000</v>
      </c>
      <c r="Q343" s="108">
        <v>880000</v>
      </c>
      <c r="R343" s="109">
        <v>0.1</v>
      </c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spans="1:27" ht="14">
      <c r="A344" s="97">
        <f t="shared" si="52"/>
        <v>13</v>
      </c>
      <c r="B344" s="98" t="s">
        <v>893</v>
      </c>
      <c r="C344" s="99" t="s">
        <v>6</v>
      </c>
      <c r="D344" s="100">
        <v>46185</v>
      </c>
      <c r="E344" s="99" t="str">
        <f>VLOOKUP($C344,xe!$A:$B,2,0)</f>
        <v>50H-69501</v>
      </c>
      <c r="F344" s="101" t="str">
        <f>VLOOKUP($B344,ma!$A:$B,2,0)</f>
        <v>VĂN HẬU Q8 ( K BX )</v>
      </c>
      <c r="G344" s="102" t="s">
        <v>1499</v>
      </c>
      <c r="H344" s="103" t="s">
        <v>1499</v>
      </c>
      <c r="I344" s="104"/>
      <c r="J344" s="99"/>
      <c r="K344" s="106">
        <v>2.2000000000000002</v>
      </c>
      <c r="L344" s="107">
        <v>50000</v>
      </c>
      <c r="M344" s="104"/>
      <c r="N344" s="101"/>
      <c r="O344" s="101">
        <v>1</v>
      </c>
      <c r="P344" s="104">
        <f>VLOOKUP($B344,ma!$A:$C,3,0)</f>
        <v>800000</v>
      </c>
      <c r="Q344" s="108">
        <v>880000</v>
      </c>
      <c r="R344" s="109">
        <v>0.1</v>
      </c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spans="1:27" ht="14">
      <c r="A345" s="97">
        <f t="shared" si="52"/>
        <v>14</v>
      </c>
      <c r="B345" s="98" t="s">
        <v>579</v>
      </c>
      <c r="C345" s="99" t="s">
        <v>1846</v>
      </c>
      <c r="D345" s="100">
        <v>46185</v>
      </c>
      <c r="E345" s="99" t="str">
        <f>VLOOKUP($C345,xe!$A:$B,2,0)</f>
        <v>50H-50999</v>
      </c>
      <c r="F345" s="101" t="str">
        <f>VLOOKUP($B345,ma!$A:$B,2,0)</f>
        <v>LAM TÂN T.ĐỨC ( K BX)</v>
      </c>
      <c r="G345" s="102" t="s">
        <v>1909</v>
      </c>
      <c r="H345" s="103" t="s">
        <v>1704</v>
      </c>
      <c r="I345" s="104"/>
      <c r="J345" s="99"/>
      <c r="K345" s="106">
        <v>1.8</v>
      </c>
      <c r="L345" s="107">
        <v>50000</v>
      </c>
      <c r="M345" s="104"/>
      <c r="N345" s="101"/>
      <c r="O345" s="101">
        <v>1</v>
      </c>
      <c r="P345" s="104">
        <f>VLOOKUP($B345,ma!$A:$C,3,0)</f>
        <v>800000</v>
      </c>
      <c r="Q345" s="108">
        <v>880000</v>
      </c>
      <c r="R345" s="109">
        <v>0.1</v>
      </c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spans="1:27" ht="14">
      <c r="A346" s="97">
        <f t="shared" si="52"/>
        <v>15</v>
      </c>
      <c r="B346" s="98" t="s">
        <v>579</v>
      </c>
      <c r="C346" s="99" t="s">
        <v>12</v>
      </c>
      <c r="D346" s="100">
        <v>46185</v>
      </c>
      <c r="E346" s="99" t="str">
        <f>VLOOKUP($C346,xe!$A:$B,2,0)</f>
        <v>50E-164,61</v>
      </c>
      <c r="F346" s="101" t="str">
        <f>VLOOKUP($B346,ma!$A:$B,2,0)</f>
        <v>LAM TÂN T.ĐỨC ( K BX)</v>
      </c>
      <c r="G346" s="102" t="s">
        <v>1910</v>
      </c>
      <c r="H346" s="103" t="s">
        <v>1704</v>
      </c>
      <c r="I346" s="104"/>
      <c r="J346" s="99"/>
      <c r="K346" s="106">
        <v>1.8</v>
      </c>
      <c r="L346" s="107">
        <v>50000</v>
      </c>
      <c r="M346" s="104"/>
      <c r="N346" s="101"/>
      <c r="O346" s="101">
        <v>1</v>
      </c>
      <c r="P346" s="104">
        <f>VLOOKUP($B346,ma!$A:$C,3,0)</f>
        <v>800000</v>
      </c>
      <c r="Q346" s="108">
        <v>880000</v>
      </c>
      <c r="R346" s="109">
        <v>0.1</v>
      </c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spans="1:27" ht="14">
      <c r="A347" s="97">
        <f t="shared" si="52"/>
        <v>16</v>
      </c>
      <c r="B347" s="98" t="s">
        <v>781</v>
      </c>
      <c r="C347" s="99" t="s">
        <v>1484</v>
      </c>
      <c r="D347" s="100">
        <v>46185</v>
      </c>
      <c r="E347" s="99" t="e">
        <f>VLOOKUP($C347,xe!$A:$B,2,0)</f>
        <v>#N/A</v>
      </c>
      <c r="F347" s="101" t="str">
        <f>VLOOKUP($B347,ma!$A:$B,2,0)</f>
        <v>SONG HỒNG TÂN ( KBX )</v>
      </c>
      <c r="G347" s="102" t="s">
        <v>1911</v>
      </c>
      <c r="H347" s="103" t="s">
        <v>1912</v>
      </c>
      <c r="I347" s="104"/>
      <c r="J347" s="99"/>
      <c r="K347" s="106">
        <v>1.8</v>
      </c>
      <c r="L347" s="107"/>
      <c r="M347" s="104"/>
      <c r="N347" s="101"/>
      <c r="O347" s="101">
        <v>1</v>
      </c>
      <c r="P347" s="104">
        <f>VLOOKUP($B347,ma!$A:$C,3,0)</f>
        <v>900000</v>
      </c>
      <c r="Q347" s="108">
        <v>990000</v>
      </c>
      <c r="R347" s="109">
        <v>0.1</v>
      </c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spans="1:27" ht="14">
      <c r="A348" s="97">
        <f t="shared" si="52"/>
        <v>17</v>
      </c>
      <c r="B348" s="98" t="s">
        <v>781</v>
      </c>
      <c r="C348" s="99" t="s">
        <v>24</v>
      </c>
      <c r="D348" s="100">
        <v>46185</v>
      </c>
      <c r="E348" s="99" t="str">
        <f>VLOOKUP($C348,xe!$A:$B,2,0)</f>
        <v>50H-55161</v>
      </c>
      <c r="F348" s="101" t="str">
        <f>VLOOKUP($B348,ma!$A:$B,2,0)</f>
        <v>SONG HỒNG TÂN ( KBX )</v>
      </c>
      <c r="G348" s="102" t="s">
        <v>1913</v>
      </c>
      <c r="H348" s="103" t="s">
        <v>1704</v>
      </c>
      <c r="I348" s="104"/>
      <c r="J348" s="99"/>
      <c r="K348" s="106">
        <v>1.8</v>
      </c>
      <c r="L348" s="107">
        <v>50000</v>
      </c>
      <c r="M348" s="104"/>
      <c r="N348" s="101"/>
      <c r="O348" s="101">
        <v>1</v>
      </c>
      <c r="P348" s="104">
        <f>VLOOKUP($B348,ma!$A:$C,3,0)</f>
        <v>900000</v>
      </c>
      <c r="Q348" s="108">
        <v>990000</v>
      </c>
      <c r="R348" s="109">
        <v>0.1</v>
      </c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spans="1:27" ht="14">
      <c r="A349" s="97">
        <f t="shared" si="52"/>
        <v>18</v>
      </c>
      <c r="B349" s="98" t="s">
        <v>781</v>
      </c>
      <c r="C349" s="99" t="s">
        <v>28</v>
      </c>
      <c r="D349" s="100">
        <v>46185</v>
      </c>
      <c r="E349" s="99" t="str">
        <f>VLOOKUP($C349,xe!$A:$B,2,0)</f>
        <v>50H-54580</v>
      </c>
      <c r="F349" s="101" t="str">
        <f>VLOOKUP($B349,ma!$A:$B,2,0)</f>
        <v>SONG HỒNG TÂN ( KBX )</v>
      </c>
      <c r="G349" s="102" t="s">
        <v>1914</v>
      </c>
      <c r="H349" s="103" t="s">
        <v>1704</v>
      </c>
      <c r="I349" s="104"/>
      <c r="J349" s="99"/>
      <c r="K349" s="106">
        <v>1.8</v>
      </c>
      <c r="L349" s="107">
        <v>50000</v>
      </c>
      <c r="M349" s="104"/>
      <c r="N349" s="101"/>
      <c r="O349" s="101">
        <v>1</v>
      </c>
      <c r="P349" s="104">
        <f>VLOOKUP($B349,ma!$A:$C,3,0)</f>
        <v>900000</v>
      </c>
      <c r="Q349" s="108">
        <v>990000</v>
      </c>
      <c r="R349" s="109">
        <v>0.1</v>
      </c>
      <c r="S349" s="111"/>
      <c r="T349" s="111"/>
      <c r="U349" s="111"/>
      <c r="V349" s="111"/>
      <c r="W349" s="111"/>
      <c r="X349" s="111"/>
      <c r="Y349" s="111"/>
      <c r="Z349" s="111"/>
      <c r="AA349" s="111"/>
    </row>
    <row r="350" spans="1:27" ht="14">
      <c r="A350" s="97">
        <f t="shared" si="52"/>
        <v>19</v>
      </c>
      <c r="B350" s="98" t="s">
        <v>781</v>
      </c>
      <c r="C350" s="99" t="s">
        <v>63</v>
      </c>
      <c r="D350" s="100">
        <v>46185</v>
      </c>
      <c r="E350" s="99" t="e">
        <f>VLOOKUP($C350,xe!$A:$B,2,0)</f>
        <v>#N/A</v>
      </c>
      <c r="F350" s="101" t="str">
        <f>VLOOKUP($B350,ma!$A:$B,2,0)</f>
        <v>SONG HỒNG TÂN ( KBX )</v>
      </c>
      <c r="G350" s="102" t="s">
        <v>1915</v>
      </c>
      <c r="H350" s="103" t="s">
        <v>1704</v>
      </c>
      <c r="I350" s="104"/>
      <c r="J350" s="99"/>
      <c r="K350" s="106">
        <v>1.8</v>
      </c>
      <c r="L350" s="107"/>
      <c r="M350" s="104"/>
      <c r="N350" s="101"/>
      <c r="O350" s="101">
        <v>1</v>
      </c>
      <c r="P350" s="104">
        <f>VLOOKUP($B350,ma!$A:$C,3,0)</f>
        <v>900000</v>
      </c>
      <c r="Q350" s="108">
        <v>990000</v>
      </c>
      <c r="R350" s="109">
        <v>0.1</v>
      </c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spans="1:27" ht="14">
      <c r="A351" s="97">
        <f t="shared" si="52"/>
        <v>20</v>
      </c>
      <c r="B351" s="98" t="s">
        <v>781</v>
      </c>
      <c r="C351" s="99" t="s">
        <v>14</v>
      </c>
      <c r="D351" s="100">
        <v>46185</v>
      </c>
      <c r="E351" s="99" t="str">
        <f>VLOOKUP($C351,xe!$A:$B,2,0)</f>
        <v>51H -88294</v>
      </c>
      <c r="F351" s="101" t="str">
        <f>VLOOKUP($B351,ma!$A:$B,2,0)</f>
        <v>SONG HỒNG TÂN ( KBX )</v>
      </c>
      <c r="G351" s="102" t="s">
        <v>1916</v>
      </c>
      <c r="H351" s="103" t="s">
        <v>1704</v>
      </c>
      <c r="I351" s="104"/>
      <c r="J351" s="99"/>
      <c r="K351" s="106">
        <v>1.8</v>
      </c>
      <c r="L351" s="107">
        <v>50000</v>
      </c>
      <c r="M351" s="104"/>
      <c r="N351" s="101"/>
      <c r="O351" s="101">
        <v>1</v>
      </c>
      <c r="P351" s="104">
        <f>VLOOKUP($B351,ma!$A:$C,3,0)</f>
        <v>900000</v>
      </c>
      <c r="Q351" s="108">
        <v>990000</v>
      </c>
      <c r="R351" s="109">
        <v>0.1</v>
      </c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spans="1:27" ht="14">
      <c r="A352" s="97">
        <f t="shared" si="52"/>
        <v>21</v>
      </c>
      <c r="B352" s="98" t="s">
        <v>807</v>
      </c>
      <c r="C352" s="99" t="s">
        <v>16</v>
      </c>
      <c r="D352" s="100">
        <v>46185</v>
      </c>
      <c r="E352" s="99" t="str">
        <f>VLOOKUP($C352,xe!$A:$B,2,0)</f>
        <v>50H-74619</v>
      </c>
      <c r="F352" s="101" t="str">
        <f>VLOOKUP($B352,ma!$A:$B,2,0)</f>
        <v>JOLIBEE</v>
      </c>
      <c r="G352" s="102" t="s">
        <v>1917</v>
      </c>
      <c r="H352" s="103" t="s">
        <v>1704</v>
      </c>
      <c r="I352" s="104"/>
      <c r="J352" s="99"/>
      <c r="K352" s="106">
        <v>1.2</v>
      </c>
      <c r="L352" s="107">
        <f>K352*50000</f>
        <v>60000</v>
      </c>
      <c r="M352" s="104"/>
      <c r="N352" s="101"/>
      <c r="O352" s="101">
        <v>1</v>
      </c>
      <c r="P352" s="104">
        <f>VLOOKUP($B352,ma!$A:$C,3,0)</f>
        <v>900000</v>
      </c>
      <c r="Q352" s="108">
        <v>990000</v>
      </c>
      <c r="R352" s="109">
        <v>0.1</v>
      </c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spans="1:27" ht="14">
      <c r="A353" s="97">
        <f t="shared" si="52"/>
        <v>22</v>
      </c>
      <c r="B353" s="98" t="s">
        <v>138</v>
      </c>
      <c r="C353" s="99" t="s">
        <v>1554</v>
      </c>
      <c r="D353" s="100">
        <v>46185</v>
      </c>
      <c r="E353" s="99" t="str">
        <f>VLOOKUP($C353,xe!$A:$B,2,0)</f>
        <v>50H-63174</v>
      </c>
      <c r="F353" s="101" t="str">
        <f>VLOOKUP($B353,ma!$A:$B,2,0)</f>
        <v>QUẬN 9</v>
      </c>
      <c r="G353" s="102" t="s">
        <v>1918</v>
      </c>
      <c r="H353" s="103" t="s">
        <v>1704</v>
      </c>
      <c r="I353" s="104"/>
      <c r="J353" s="105" t="s">
        <v>97</v>
      </c>
      <c r="K353" s="106">
        <v>1.6</v>
      </c>
      <c r="L353" s="107"/>
      <c r="M353" s="104"/>
      <c r="N353" s="101"/>
      <c r="O353" s="101">
        <v>1</v>
      </c>
      <c r="P353" s="104">
        <f>VLOOKUP($B353,ma!$A:$C,3,0)</f>
        <v>800000</v>
      </c>
      <c r="Q353" s="108">
        <v>880000</v>
      </c>
      <c r="R353" s="109">
        <v>0.1</v>
      </c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spans="1:27" ht="14">
      <c r="A354" s="97">
        <f t="shared" si="52"/>
        <v>23</v>
      </c>
      <c r="B354" s="98" t="s">
        <v>138</v>
      </c>
      <c r="C354" s="99" t="s">
        <v>18</v>
      </c>
      <c r="D354" s="100">
        <v>46185</v>
      </c>
      <c r="E354" s="99" t="str">
        <f>VLOOKUP($C354,xe!$A:$B,2,0)</f>
        <v>50H 87442</v>
      </c>
      <c r="F354" s="101" t="str">
        <f>VLOOKUP($B354,ma!$A:$B,2,0)</f>
        <v>QUẬN 9</v>
      </c>
      <c r="G354" s="102" t="s">
        <v>1919</v>
      </c>
      <c r="H354" s="103" t="s">
        <v>1704</v>
      </c>
      <c r="I354" s="104"/>
      <c r="J354" s="105" t="s">
        <v>97</v>
      </c>
      <c r="K354" s="106">
        <v>1.6</v>
      </c>
      <c r="L354" s="107"/>
      <c r="M354" s="104"/>
      <c r="N354" s="101"/>
      <c r="O354" s="101">
        <v>1</v>
      </c>
      <c r="P354" s="104">
        <f>VLOOKUP($B354,ma!$A:$C,3,0)</f>
        <v>800000</v>
      </c>
      <c r="Q354" s="108">
        <v>880000</v>
      </c>
      <c r="R354" s="109">
        <v>0.1</v>
      </c>
      <c r="S354" s="111"/>
      <c r="T354" s="111"/>
      <c r="U354" s="111"/>
      <c r="V354" s="111"/>
      <c r="W354" s="111"/>
      <c r="X354" s="111"/>
      <c r="Y354" s="111"/>
      <c r="Z354" s="111"/>
      <c r="AA354" s="111"/>
    </row>
    <row r="355" spans="1:27" ht="14">
      <c r="A355" s="97">
        <f t="shared" si="52"/>
        <v>24</v>
      </c>
      <c r="B355" s="98" t="s">
        <v>835</v>
      </c>
      <c r="C355" s="99" t="s">
        <v>1695</v>
      </c>
      <c r="D355" s="100">
        <v>46185</v>
      </c>
      <c r="E355" s="99" t="str">
        <f>VLOOKUP($C355,xe!$A:$B,2,0)</f>
        <v>50H-64316</v>
      </c>
      <c r="F355" s="101" t="str">
        <f>VLOOKUP($B355,ma!$A:$B,2,0)</f>
        <v>3KS CẨM HƯƠNG ( K BX )</v>
      </c>
      <c r="G355" s="102" t="s">
        <v>1499</v>
      </c>
      <c r="H355" s="103" t="s">
        <v>1499</v>
      </c>
      <c r="I355" s="104"/>
      <c r="J355" s="99"/>
      <c r="K355" s="106">
        <v>2.2000000000000002</v>
      </c>
      <c r="L355" s="107">
        <v>50000</v>
      </c>
      <c r="M355" s="104"/>
      <c r="N355" s="101"/>
      <c r="O355" s="101">
        <v>1</v>
      </c>
      <c r="P355" s="104">
        <f>VLOOKUP($B355,ma!$A:$C,3,0)</f>
        <v>900000</v>
      </c>
      <c r="Q355" s="108">
        <v>990000</v>
      </c>
      <c r="R355" s="109">
        <v>0.1</v>
      </c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spans="1:27" ht="14">
      <c r="A356" s="97">
        <f t="shared" si="52"/>
        <v>25</v>
      </c>
      <c r="B356" s="98" t="s">
        <v>835</v>
      </c>
      <c r="C356" s="99" t="s">
        <v>26</v>
      </c>
      <c r="D356" s="100">
        <v>46185</v>
      </c>
      <c r="E356" s="99" t="str">
        <f>VLOOKUP($C356,xe!$A:$B,2,0)</f>
        <v>50H-55443</v>
      </c>
      <c r="F356" s="101" t="str">
        <f>VLOOKUP($B356,ma!$A:$B,2,0)</f>
        <v>3KS CẨM HƯƠNG ( K BX )</v>
      </c>
      <c r="G356" s="102" t="s">
        <v>1499</v>
      </c>
      <c r="H356" s="103" t="s">
        <v>1499</v>
      </c>
      <c r="I356" s="104"/>
      <c r="J356" s="99"/>
      <c r="K356" s="106">
        <v>2.2000000000000002</v>
      </c>
      <c r="L356" s="107">
        <v>50000</v>
      </c>
      <c r="M356" s="104"/>
      <c r="N356" s="101"/>
      <c r="O356" s="101">
        <v>1</v>
      </c>
      <c r="P356" s="104">
        <f>VLOOKUP($B356,ma!$A:$C,3,0)</f>
        <v>900000</v>
      </c>
      <c r="Q356" s="108">
        <v>990000</v>
      </c>
      <c r="R356" s="109">
        <v>0.1</v>
      </c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spans="1:27" ht="14">
      <c r="A357" s="97">
        <f t="shared" si="52"/>
        <v>26</v>
      </c>
      <c r="B357" s="98" t="s">
        <v>1161</v>
      </c>
      <c r="C357" s="99" t="s">
        <v>62</v>
      </c>
      <c r="D357" s="100">
        <v>46185</v>
      </c>
      <c r="E357" s="114" t="e">
        <f>VLOOKUP($C357,xe!$A:$B,2,0)</f>
        <v>#N/A</v>
      </c>
      <c r="F357" s="101" t="str">
        <f>VLOOKUP($B357,ma!$A:$B,2,0)</f>
        <v>LOTTEMART-Q7</v>
      </c>
      <c r="G357" s="102" t="s">
        <v>1920</v>
      </c>
      <c r="H357" s="103" t="s">
        <v>1704</v>
      </c>
      <c r="I357" s="104"/>
      <c r="J357" s="105" t="s">
        <v>119</v>
      </c>
      <c r="K357" s="106">
        <v>2</v>
      </c>
      <c r="L357" s="107">
        <f t="shared" ref="L357:L367" si="54">K357*50000</f>
        <v>100000</v>
      </c>
      <c r="M357" s="104"/>
      <c r="N357" s="101"/>
      <c r="O357" s="101">
        <v>1</v>
      </c>
      <c r="P357" s="104">
        <f>VLOOKUP($B357,ma!$A:$C,3,0)</f>
        <v>800000</v>
      </c>
      <c r="Q357" s="108">
        <v>880000</v>
      </c>
      <c r="R357" s="109">
        <v>0.1</v>
      </c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spans="1:27" ht="14">
      <c r="A358" s="97">
        <f t="shared" si="52"/>
        <v>27</v>
      </c>
      <c r="B358" s="98" t="s">
        <v>1161</v>
      </c>
      <c r="C358" s="99" t="s">
        <v>1846</v>
      </c>
      <c r="D358" s="100">
        <v>46185</v>
      </c>
      <c r="E358" s="99" t="str">
        <f>VLOOKUP($C358,xe!$A:$B,2,0)</f>
        <v>50H-50999</v>
      </c>
      <c r="F358" s="101" t="str">
        <f>VLOOKUP($B358,ma!$A:$B,2,0)</f>
        <v>LOTTEMART-Q7</v>
      </c>
      <c r="G358" s="102" t="s">
        <v>1921</v>
      </c>
      <c r="H358" s="103" t="s">
        <v>1704</v>
      </c>
      <c r="I358" s="104"/>
      <c r="J358" s="105" t="s">
        <v>119</v>
      </c>
      <c r="K358" s="106">
        <v>2</v>
      </c>
      <c r="L358" s="107">
        <f t="shared" si="54"/>
        <v>100000</v>
      </c>
      <c r="M358" s="104"/>
      <c r="N358" s="101"/>
      <c r="O358" s="101">
        <v>1</v>
      </c>
      <c r="P358" s="104">
        <f>VLOOKUP($B358,ma!$A:$C,3,0)</f>
        <v>800000</v>
      </c>
      <c r="Q358" s="108">
        <v>880000</v>
      </c>
      <c r="R358" s="109">
        <v>0.1</v>
      </c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spans="1:27" ht="14">
      <c r="A359" s="97">
        <f t="shared" si="52"/>
        <v>28</v>
      </c>
      <c r="B359" s="98" t="s">
        <v>1161</v>
      </c>
      <c r="C359" s="99" t="s">
        <v>4</v>
      </c>
      <c r="D359" s="100">
        <v>46185</v>
      </c>
      <c r="E359" s="99" t="str">
        <f>VLOOKUP($C359,xe!$A:$B,2,0)</f>
        <v>50H-55116</v>
      </c>
      <c r="F359" s="101" t="str">
        <f>VLOOKUP($B359,ma!$A:$B,2,0)</f>
        <v>LOTTEMART-Q7</v>
      </c>
      <c r="G359" s="102" t="s">
        <v>1922</v>
      </c>
      <c r="H359" s="103" t="s">
        <v>1704</v>
      </c>
      <c r="I359" s="104"/>
      <c r="J359" s="105" t="s">
        <v>119</v>
      </c>
      <c r="K359" s="106">
        <v>2</v>
      </c>
      <c r="L359" s="107">
        <f t="shared" si="54"/>
        <v>100000</v>
      </c>
      <c r="M359" s="104"/>
      <c r="N359" s="101"/>
      <c r="O359" s="101">
        <v>1</v>
      </c>
      <c r="P359" s="104">
        <f>VLOOKUP($B359,ma!$A:$C,3,0)</f>
        <v>800000</v>
      </c>
      <c r="Q359" s="108">
        <v>880000</v>
      </c>
      <c r="R359" s="109">
        <v>0.1</v>
      </c>
      <c r="S359" s="111"/>
      <c r="T359" s="111"/>
      <c r="U359" s="111"/>
      <c r="V359" s="111"/>
      <c r="W359" s="111"/>
      <c r="X359" s="111"/>
      <c r="Y359" s="111"/>
      <c r="Z359" s="111"/>
      <c r="AA359" s="111"/>
    </row>
    <row r="360" spans="1:27" ht="14">
      <c r="A360" s="97">
        <f t="shared" si="52"/>
        <v>29</v>
      </c>
      <c r="B360" s="98" t="s">
        <v>1161</v>
      </c>
      <c r="C360" s="99" t="s">
        <v>24</v>
      </c>
      <c r="D360" s="100">
        <v>46185</v>
      </c>
      <c r="E360" s="99" t="str">
        <f>VLOOKUP($C360,xe!$A:$B,2,0)</f>
        <v>50H-55161</v>
      </c>
      <c r="F360" s="101" t="str">
        <f>VLOOKUP($B360,ma!$A:$B,2,0)</f>
        <v>LOTTEMART-Q7</v>
      </c>
      <c r="G360" s="102" t="s">
        <v>1923</v>
      </c>
      <c r="H360" s="103" t="s">
        <v>1704</v>
      </c>
      <c r="I360" s="104"/>
      <c r="J360" s="105" t="s">
        <v>119</v>
      </c>
      <c r="K360" s="106">
        <v>2</v>
      </c>
      <c r="L360" s="107">
        <f t="shared" si="54"/>
        <v>100000</v>
      </c>
      <c r="M360" s="104"/>
      <c r="N360" s="101"/>
      <c r="O360" s="101">
        <v>1</v>
      </c>
      <c r="P360" s="104">
        <f>VLOOKUP($B360,ma!$A:$C,3,0)</f>
        <v>800000</v>
      </c>
      <c r="Q360" s="108">
        <v>880000</v>
      </c>
      <c r="R360" s="109">
        <v>0.1</v>
      </c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spans="1:27" ht="14">
      <c r="A361" s="97">
        <f t="shared" si="52"/>
        <v>30</v>
      </c>
      <c r="B361" s="98" t="s">
        <v>1161</v>
      </c>
      <c r="C361" s="99" t="s">
        <v>12</v>
      </c>
      <c r="D361" s="100">
        <v>46185</v>
      </c>
      <c r="E361" s="99" t="str">
        <f>VLOOKUP($C361,xe!$A:$B,2,0)</f>
        <v>50E-164,61</v>
      </c>
      <c r="F361" s="101" t="str">
        <f>VLOOKUP($B361,ma!$A:$B,2,0)</f>
        <v>LOTTEMART-Q7</v>
      </c>
      <c r="G361" s="102"/>
      <c r="H361" s="103"/>
      <c r="I361" s="104"/>
      <c r="J361" s="105" t="s">
        <v>119</v>
      </c>
      <c r="K361" s="106">
        <v>2</v>
      </c>
      <c r="L361" s="107">
        <f t="shared" si="54"/>
        <v>100000</v>
      </c>
      <c r="M361" s="104"/>
      <c r="N361" s="101"/>
      <c r="O361" s="101">
        <v>1</v>
      </c>
      <c r="P361" s="104">
        <f>VLOOKUP($B361,ma!$A:$C,3,0)</f>
        <v>800000</v>
      </c>
      <c r="Q361" s="108">
        <v>880000</v>
      </c>
      <c r="R361" s="109">
        <v>0.1</v>
      </c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spans="1:27" ht="14">
      <c r="A362" s="97">
        <f t="shared" si="52"/>
        <v>31</v>
      </c>
      <c r="B362" s="98" t="s">
        <v>1051</v>
      </c>
      <c r="C362" s="99" t="s">
        <v>6</v>
      </c>
      <c r="D362" s="100">
        <v>46185</v>
      </c>
      <c r="E362" s="99" t="str">
        <f>VLOOKUP($C362,xe!$A:$B,2,0)</f>
        <v>50H-69501</v>
      </c>
      <c r="F362" s="101" t="str">
        <f>VLOOKUP($B362,ma!$A:$B,2,0)</f>
        <v>COOP VỆ TINH BD</v>
      </c>
      <c r="G362" s="102" t="s">
        <v>1924</v>
      </c>
      <c r="H362" s="103" t="s">
        <v>1704</v>
      </c>
      <c r="I362" s="104"/>
      <c r="J362" s="105" t="s">
        <v>465</v>
      </c>
      <c r="K362" s="106">
        <v>2.2000000000000002</v>
      </c>
      <c r="L362" s="107">
        <f t="shared" si="54"/>
        <v>110000.00000000001</v>
      </c>
      <c r="M362" s="104"/>
      <c r="N362" s="101"/>
      <c r="O362" s="101">
        <v>1</v>
      </c>
      <c r="P362" s="104">
        <f>VLOOKUP($B362,ma!$A:$C,3,0)</f>
        <v>900000</v>
      </c>
      <c r="Q362" s="108">
        <v>990000</v>
      </c>
      <c r="R362" s="109">
        <v>0.1</v>
      </c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spans="1:27" ht="14">
      <c r="A363" s="97">
        <f t="shared" si="52"/>
        <v>32</v>
      </c>
      <c r="B363" s="98" t="s">
        <v>1063</v>
      </c>
      <c r="C363" s="99" t="s">
        <v>16</v>
      </c>
      <c r="D363" s="100">
        <v>46185</v>
      </c>
      <c r="E363" s="99" t="str">
        <f>VLOOKUP($C363,xe!$A:$B,2,0)</f>
        <v>50H-74619</v>
      </c>
      <c r="F363" s="101" t="str">
        <f>VLOOKUP($B363,ma!$A:$B,2,0)</f>
        <v>BC PHÚ THẠNH</v>
      </c>
      <c r="G363" s="102" t="s">
        <v>1925</v>
      </c>
      <c r="H363" s="103" t="s">
        <v>1704</v>
      </c>
      <c r="I363" s="104"/>
      <c r="J363" s="126" t="s">
        <v>1520</v>
      </c>
      <c r="K363" s="106">
        <v>1.6</v>
      </c>
      <c r="L363" s="107">
        <f t="shared" si="54"/>
        <v>80000</v>
      </c>
      <c r="M363" s="104"/>
      <c r="N363" s="101"/>
      <c r="O363" s="101">
        <v>1</v>
      </c>
      <c r="P363" s="104">
        <f>VLOOKUP($B363,ma!$A:$C,3,0)</f>
        <v>800000</v>
      </c>
      <c r="Q363" s="108">
        <v>880000</v>
      </c>
      <c r="R363" s="109">
        <v>0.1</v>
      </c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spans="1:27" ht="14">
      <c r="A364" s="97">
        <f t="shared" si="52"/>
        <v>33</v>
      </c>
      <c r="B364" s="98" t="s">
        <v>348</v>
      </c>
      <c r="C364" s="99" t="s">
        <v>4</v>
      </c>
      <c r="D364" s="100">
        <v>46185</v>
      </c>
      <c r="E364" s="99" t="str">
        <f>VLOOKUP($C364,xe!$A:$B,2,0)</f>
        <v>50H-55116</v>
      </c>
      <c r="F364" s="101" t="str">
        <f>VLOOKUP($B364,ma!$A:$B,2,0)</f>
        <v>CKS - CÁI LÂN</v>
      </c>
      <c r="G364" s="102" t="s">
        <v>1499</v>
      </c>
      <c r="H364" s="103" t="s">
        <v>1499</v>
      </c>
      <c r="I364" s="104"/>
      <c r="J364" s="99"/>
      <c r="K364" s="106">
        <v>1</v>
      </c>
      <c r="L364" s="107">
        <f t="shared" si="54"/>
        <v>50000</v>
      </c>
      <c r="M364" s="104"/>
      <c r="N364" s="101"/>
      <c r="O364" s="101">
        <v>1</v>
      </c>
      <c r="P364" s="104">
        <f>VLOOKUP($B364,ma!$A:$C,3,0)</f>
        <v>800000</v>
      </c>
      <c r="Q364" s="108">
        <v>880000</v>
      </c>
      <c r="R364" s="109">
        <v>0.1</v>
      </c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spans="1:27" ht="14">
      <c r="A365" s="116">
        <v>1</v>
      </c>
      <c r="B365" s="117" t="s">
        <v>1578</v>
      </c>
      <c r="C365" s="118" t="s">
        <v>14</v>
      </c>
      <c r="D365" s="119">
        <v>46186</v>
      </c>
      <c r="E365" s="118" t="str">
        <f>VLOOKUP($C365,xe!$A:$B,2,0)</f>
        <v>51H -88294</v>
      </c>
      <c r="F365" s="120" t="str">
        <f>VLOOKUP($B365,ma!$A:$B,2,0)</f>
        <v>CALOFIC - UNI ( xe nhỏ )</v>
      </c>
      <c r="G365" s="121" t="s">
        <v>1926</v>
      </c>
      <c r="H365" s="122" t="s">
        <v>1704</v>
      </c>
      <c r="I365" s="123"/>
      <c r="J365" s="118"/>
      <c r="K365" s="124">
        <v>1.4</v>
      </c>
      <c r="L365" s="125">
        <f t="shared" si="54"/>
        <v>70000</v>
      </c>
      <c r="M365" s="123"/>
      <c r="N365" s="120"/>
      <c r="O365" s="120">
        <v>1</v>
      </c>
      <c r="P365" s="123">
        <f>VLOOKUP($B365,ma!$A:$C,3,0)</f>
        <v>300000</v>
      </c>
      <c r="Q365" s="108">
        <v>330000</v>
      </c>
      <c r="R365" s="109">
        <v>0.1</v>
      </c>
      <c r="S365" s="111"/>
      <c r="T365" s="111"/>
      <c r="U365" s="111"/>
      <c r="V365" s="111"/>
      <c r="W365" s="111"/>
      <c r="X365" s="111"/>
      <c r="Y365" s="111"/>
      <c r="Z365" s="111"/>
      <c r="AA365" s="111"/>
    </row>
    <row r="366" spans="1:27" ht="14">
      <c r="A366" s="97">
        <f t="shared" ref="A366:A372" si="55">A365+1</f>
        <v>2</v>
      </c>
      <c r="B366" s="98" t="s">
        <v>1157</v>
      </c>
      <c r="C366" s="99" t="s">
        <v>1570</v>
      </c>
      <c r="D366" s="100">
        <v>46186</v>
      </c>
      <c r="E366" s="99" t="str">
        <f>VLOOKUP($C366,xe!$A:$B,2,0)</f>
        <v>50H-66445</v>
      </c>
      <c r="F366" s="101" t="str">
        <f>VLOOKUP($B366,ma!$A:$B,2,0)</f>
        <v>EMART P.H.ÍCH</v>
      </c>
      <c r="G366" s="102" t="s">
        <v>1927</v>
      </c>
      <c r="H366" s="103" t="s">
        <v>1704</v>
      </c>
      <c r="I366" s="104"/>
      <c r="J366" s="105" t="s">
        <v>119</v>
      </c>
      <c r="K366" s="106">
        <v>1</v>
      </c>
      <c r="L366" s="107">
        <f t="shared" si="54"/>
        <v>50000</v>
      </c>
      <c r="M366" s="104"/>
      <c r="N366" s="101"/>
      <c r="O366" s="101">
        <v>1</v>
      </c>
      <c r="P366" s="104">
        <f>VLOOKUP($B366,ma!$A:$C,3,0)</f>
        <v>800000</v>
      </c>
      <c r="Q366" s="108">
        <v>880000</v>
      </c>
      <c r="R366" s="109">
        <v>0.1</v>
      </c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spans="1:27" ht="14">
      <c r="A367" s="97">
        <f t="shared" si="55"/>
        <v>3</v>
      </c>
      <c r="B367" s="98" t="s">
        <v>1155</v>
      </c>
      <c r="C367" s="99" t="s">
        <v>18</v>
      </c>
      <c r="D367" s="100">
        <v>46186</v>
      </c>
      <c r="E367" s="99" t="str">
        <f>VLOOKUP($C367,xe!$A:$B,2,0)</f>
        <v>50H 87442</v>
      </c>
      <c r="F367" s="101" t="str">
        <f>VLOOKUP($B367,ma!$A:$B,2,0)</f>
        <v>E MART SALA</v>
      </c>
      <c r="G367" s="102" t="s">
        <v>1928</v>
      </c>
      <c r="H367" s="103" t="s">
        <v>1704</v>
      </c>
      <c r="I367" s="104"/>
      <c r="J367" s="105" t="s">
        <v>119</v>
      </c>
      <c r="K367" s="106">
        <v>1</v>
      </c>
      <c r="L367" s="107">
        <f t="shared" si="54"/>
        <v>50000</v>
      </c>
      <c r="M367" s="104"/>
      <c r="N367" s="101"/>
      <c r="O367" s="101">
        <v>1</v>
      </c>
      <c r="P367" s="104">
        <f>VLOOKUP($B367,ma!$A:$C,3,0)</f>
        <v>800000</v>
      </c>
      <c r="Q367" s="108">
        <v>880000</v>
      </c>
      <c r="R367" s="109">
        <v>0.1</v>
      </c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spans="1:27" ht="14">
      <c r="A368" s="97">
        <f t="shared" si="55"/>
        <v>4</v>
      </c>
      <c r="B368" s="98" t="s">
        <v>851</v>
      </c>
      <c r="C368" s="99" t="s">
        <v>28</v>
      </c>
      <c r="D368" s="100">
        <v>46186</v>
      </c>
      <c r="E368" s="99" t="str">
        <f>VLOOKUP($C368,xe!$A:$B,2,0)</f>
        <v>50H-54580</v>
      </c>
      <c r="F368" s="101" t="str">
        <f>VLOOKUP($B368,ma!$A:$B,2,0)</f>
        <v>VỊ NGỌT HAPPY ( K BX )</v>
      </c>
      <c r="G368" s="102" t="s">
        <v>1929</v>
      </c>
      <c r="H368" s="103" t="s">
        <v>1704</v>
      </c>
      <c r="I368" s="104"/>
      <c r="J368" s="99"/>
      <c r="K368" s="106">
        <v>1.2</v>
      </c>
      <c r="L368" s="107">
        <v>50000</v>
      </c>
      <c r="M368" s="104"/>
      <c r="N368" s="101"/>
      <c r="O368" s="101">
        <v>1</v>
      </c>
      <c r="P368" s="104">
        <f>VLOOKUP($B368,ma!$A:$C,3,0)</f>
        <v>800000</v>
      </c>
      <c r="Q368" s="108">
        <v>880000</v>
      </c>
      <c r="R368" s="109">
        <v>0.1</v>
      </c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spans="1:27" ht="14">
      <c r="A369" s="97">
        <f t="shared" si="55"/>
        <v>5</v>
      </c>
      <c r="B369" s="98" t="s">
        <v>851</v>
      </c>
      <c r="C369" s="99" t="s">
        <v>1554</v>
      </c>
      <c r="D369" s="100">
        <v>46186</v>
      </c>
      <c r="E369" s="99" t="str">
        <f>VLOOKUP($C369,xe!$A:$B,2,0)</f>
        <v>50H-63174</v>
      </c>
      <c r="F369" s="101" t="str">
        <f>VLOOKUP($B369,ma!$A:$B,2,0)</f>
        <v>VỊ NGỌT HAPPY ( K BX )</v>
      </c>
      <c r="G369" s="102" t="s">
        <v>1930</v>
      </c>
      <c r="H369" s="103" t="s">
        <v>1704</v>
      </c>
      <c r="I369" s="104"/>
      <c r="J369" s="99"/>
      <c r="K369" s="106">
        <v>1.4</v>
      </c>
      <c r="L369" s="107">
        <v>50000</v>
      </c>
      <c r="M369" s="104"/>
      <c r="N369" s="101"/>
      <c r="O369" s="101">
        <v>1</v>
      </c>
      <c r="P369" s="104">
        <f>VLOOKUP($B369,ma!$A:$C,3,0)</f>
        <v>800000</v>
      </c>
      <c r="Q369" s="108">
        <v>880000</v>
      </c>
      <c r="R369" s="109">
        <v>0.1</v>
      </c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spans="1:27" ht="14">
      <c r="A370" s="97">
        <f t="shared" si="55"/>
        <v>6</v>
      </c>
      <c r="B370" s="98" t="s">
        <v>851</v>
      </c>
      <c r="C370" s="99" t="s">
        <v>14</v>
      </c>
      <c r="D370" s="100">
        <v>46186</v>
      </c>
      <c r="E370" s="99" t="str">
        <f>VLOOKUP($C370,xe!$A:$B,2,0)</f>
        <v>51H -88294</v>
      </c>
      <c r="F370" s="101" t="str">
        <f>VLOOKUP($B370,ma!$A:$B,2,0)</f>
        <v>VỊ NGỌT HAPPY ( K BX )</v>
      </c>
      <c r="G370" s="102" t="s">
        <v>1931</v>
      </c>
      <c r="H370" s="103" t="s">
        <v>1704</v>
      </c>
      <c r="I370" s="104"/>
      <c r="J370" s="105" t="s">
        <v>1932</v>
      </c>
      <c r="K370" s="106">
        <v>1.4</v>
      </c>
      <c r="L370" s="107">
        <v>50000</v>
      </c>
      <c r="M370" s="104"/>
      <c r="N370" s="101"/>
      <c r="O370" s="101">
        <v>1</v>
      </c>
      <c r="P370" s="104">
        <f>VLOOKUP($B370,ma!$A:$C,3,0)</f>
        <v>800000</v>
      </c>
      <c r="Q370" s="108">
        <v>440000</v>
      </c>
      <c r="R370" s="109">
        <v>0.1</v>
      </c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spans="1:27" ht="14">
      <c r="A371" s="97">
        <f t="shared" si="55"/>
        <v>7</v>
      </c>
      <c r="B371" s="98" t="s">
        <v>851</v>
      </c>
      <c r="C371" s="99" t="s">
        <v>1695</v>
      </c>
      <c r="D371" s="100">
        <v>46186</v>
      </c>
      <c r="E371" s="99" t="str">
        <f>VLOOKUP($C371,xe!$A:$B,2,0)</f>
        <v>50H-64316</v>
      </c>
      <c r="F371" s="101" t="str">
        <f>VLOOKUP($B371,ma!$A:$B,2,0)</f>
        <v>VỊ NGỌT HAPPY ( K BX )</v>
      </c>
      <c r="G371" s="102" t="s">
        <v>1933</v>
      </c>
      <c r="H371" s="103" t="s">
        <v>1704</v>
      </c>
      <c r="I371" s="104"/>
      <c r="J371" s="105" t="s">
        <v>1932</v>
      </c>
      <c r="K371" s="106">
        <v>1.2</v>
      </c>
      <c r="L371" s="107">
        <v>50000</v>
      </c>
      <c r="M371" s="104"/>
      <c r="N371" s="101"/>
      <c r="O371" s="101">
        <v>1</v>
      </c>
      <c r="P371" s="104">
        <f>VLOOKUP($B371,ma!$A:$C,3,0)</f>
        <v>800000</v>
      </c>
      <c r="Q371" s="108">
        <v>440000</v>
      </c>
      <c r="R371" s="109">
        <v>0.1</v>
      </c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spans="1:27" ht="14">
      <c r="A372" s="97">
        <f t="shared" si="55"/>
        <v>8</v>
      </c>
      <c r="B372" s="98" t="s">
        <v>1155</v>
      </c>
      <c r="C372" s="99" t="s">
        <v>1509</v>
      </c>
      <c r="D372" s="100">
        <v>46186</v>
      </c>
      <c r="E372" s="99" t="str">
        <f>VLOOKUP($C372,xe!$A:$B,2,0)</f>
        <v>50H-70216</v>
      </c>
      <c r="F372" s="101" t="str">
        <f>VLOOKUP($B372,ma!$A:$B,2,0)</f>
        <v>E MART SALA</v>
      </c>
      <c r="G372" s="102" t="s">
        <v>1934</v>
      </c>
      <c r="H372" s="103" t="s">
        <v>1906</v>
      </c>
      <c r="I372" s="104"/>
      <c r="J372" s="105" t="s">
        <v>119</v>
      </c>
      <c r="K372" s="106">
        <v>1</v>
      </c>
      <c r="L372" s="107">
        <f>K372*50000</f>
        <v>50000</v>
      </c>
      <c r="M372" s="129">
        <v>300000</v>
      </c>
      <c r="N372" s="130" t="s">
        <v>1935</v>
      </c>
      <c r="O372" s="101">
        <v>1</v>
      </c>
      <c r="P372" s="104">
        <f>VLOOKUP($B372,ma!$A:$C,3,0)</f>
        <v>800000</v>
      </c>
      <c r="Q372" s="108">
        <v>880000</v>
      </c>
      <c r="R372" s="109">
        <v>0.1</v>
      </c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spans="1:27" ht="14">
      <c r="A373" s="116">
        <v>1</v>
      </c>
      <c r="B373" s="117" t="s">
        <v>150</v>
      </c>
      <c r="C373" s="118" t="s">
        <v>57</v>
      </c>
      <c r="D373" s="119">
        <v>46188</v>
      </c>
      <c r="E373" s="118" t="e">
        <f>VLOOKUP($C373,xe!$A:$B,2,0)</f>
        <v>#N/A</v>
      </c>
      <c r="F373" s="120" t="str">
        <f>VLOOKUP($B373,ma!$A:$B,2,0)</f>
        <v>TP2 GÒ VẤP</v>
      </c>
      <c r="G373" s="121" t="s">
        <v>1936</v>
      </c>
      <c r="H373" s="122" t="s">
        <v>1906</v>
      </c>
      <c r="I373" s="123"/>
      <c r="J373" s="118"/>
      <c r="K373" s="124">
        <v>1.8</v>
      </c>
      <c r="L373" s="125"/>
      <c r="M373" s="123"/>
      <c r="N373" s="120"/>
      <c r="O373" s="120">
        <v>1</v>
      </c>
      <c r="P373" s="123">
        <f>VLOOKUP($B373,ma!$A:$C,3,0)</f>
        <v>800000</v>
      </c>
      <c r="Q373" s="108">
        <v>880000</v>
      </c>
      <c r="R373" s="109">
        <v>0.1</v>
      </c>
      <c r="S373" s="111"/>
      <c r="T373" s="111"/>
      <c r="U373" s="111"/>
      <c r="V373" s="111"/>
      <c r="W373" s="111"/>
      <c r="X373" s="111"/>
      <c r="Y373" s="111"/>
      <c r="Z373" s="111"/>
      <c r="AA373" s="111"/>
    </row>
    <row r="374" spans="1:27" ht="14">
      <c r="A374" s="97">
        <f t="shared" ref="A374:A403" si="56">A373+1</f>
        <v>2</v>
      </c>
      <c r="B374" s="98" t="s">
        <v>150</v>
      </c>
      <c r="C374" s="99" t="s">
        <v>56</v>
      </c>
      <c r="D374" s="100">
        <v>46188</v>
      </c>
      <c r="E374" s="99" t="e">
        <f>VLOOKUP($C374,xe!$A:$B,2,0)</f>
        <v>#N/A</v>
      </c>
      <c r="F374" s="101" t="str">
        <f>VLOOKUP($B374,ma!$A:$B,2,0)</f>
        <v>TP2 GÒ VẤP</v>
      </c>
      <c r="G374" s="102" t="s">
        <v>1937</v>
      </c>
      <c r="H374" s="103" t="s">
        <v>1906</v>
      </c>
      <c r="I374" s="104"/>
      <c r="J374" s="99"/>
      <c r="K374" s="106">
        <v>1</v>
      </c>
      <c r="L374" s="107"/>
      <c r="M374" s="104"/>
      <c r="N374" s="101"/>
      <c r="O374" s="101">
        <v>1</v>
      </c>
      <c r="P374" s="104">
        <f>VLOOKUP($B374,ma!$A:$C,3,0)</f>
        <v>800000</v>
      </c>
      <c r="Q374" s="108">
        <v>880000</v>
      </c>
      <c r="R374" s="109">
        <v>0.1</v>
      </c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spans="1:27" ht="14">
      <c r="A375" s="97">
        <f t="shared" si="56"/>
        <v>3</v>
      </c>
      <c r="B375" s="98" t="s">
        <v>1165</v>
      </c>
      <c r="C375" s="99" t="s">
        <v>55</v>
      </c>
      <c r="D375" s="100">
        <v>46188</v>
      </c>
      <c r="E375" s="99" t="e">
        <f>VLOOKUP($C375,xe!$A:$B,2,0)</f>
        <v>#N/A</v>
      </c>
      <c r="F375" s="101" t="str">
        <f>VLOOKUP($B375,ma!$A:$B,2,0)</f>
        <v>LOTTE-GÒ VẤP</v>
      </c>
      <c r="G375" s="102" t="s">
        <v>1938</v>
      </c>
      <c r="H375" s="103" t="s">
        <v>1906</v>
      </c>
      <c r="I375" s="104"/>
      <c r="J375" s="105" t="s">
        <v>119</v>
      </c>
      <c r="K375" s="106">
        <v>2</v>
      </c>
      <c r="L375" s="107">
        <f t="shared" ref="L375:L378" si="57">K375*50000</f>
        <v>100000</v>
      </c>
      <c r="M375" s="104"/>
      <c r="N375" s="101"/>
      <c r="O375" s="101">
        <v>1</v>
      </c>
      <c r="P375" s="104">
        <f>VLOOKUP($B375,ma!$A:$C,3,0)</f>
        <v>800000</v>
      </c>
      <c r="Q375" s="108">
        <v>880000</v>
      </c>
      <c r="R375" s="109">
        <v>0.1</v>
      </c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spans="1:27" ht="14">
      <c r="A376" s="97">
        <f t="shared" si="56"/>
        <v>4</v>
      </c>
      <c r="B376" s="98" t="s">
        <v>1165</v>
      </c>
      <c r="C376" s="99" t="s">
        <v>58</v>
      </c>
      <c r="D376" s="100">
        <v>46188</v>
      </c>
      <c r="E376" s="99" t="e">
        <f>VLOOKUP($C376,xe!$A:$B,2,0)</f>
        <v>#N/A</v>
      </c>
      <c r="F376" s="101" t="str">
        <f>VLOOKUP($B376,ma!$A:$B,2,0)</f>
        <v>LOTTE-GÒ VẤP</v>
      </c>
      <c r="G376" s="102" t="s">
        <v>1939</v>
      </c>
      <c r="H376" s="103" t="s">
        <v>1906</v>
      </c>
      <c r="I376" s="104"/>
      <c r="J376" s="105" t="s">
        <v>119</v>
      </c>
      <c r="K376" s="106">
        <v>2</v>
      </c>
      <c r="L376" s="107">
        <f t="shared" si="57"/>
        <v>100000</v>
      </c>
      <c r="M376" s="104"/>
      <c r="N376" s="101"/>
      <c r="O376" s="101">
        <v>1</v>
      </c>
      <c r="P376" s="104">
        <f>VLOOKUP($B376,ma!$A:$C,3,0)</f>
        <v>800000</v>
      </c>
      <c r="Q376" s="108">
        <v>880000</v>
      </c>
      <c r="R376" s="109">
        <v>0.1</v>
      </c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spans="1:27" ht="14">
      <c r="A377" s="97">
        <f t="shared" si="56"/>
        <v>5</v>
      </c>
      <c r="B377" s="98" t="s">
        <v>1165</v>
      </c>
      <c r="C377" s="99" t="s">
        <v>61</v>
      </c>
      <c r="D377" s="100">
        <v>46188</v>
      </c>
      <c r="E377" s="99" t="e">
        <f>VLOOKUP($C377,xe!$A:$B,2,0)</f>
        <v>#N/A</v>
      </c>
      <c r="F377" s="101" t="str">
        <f>VLOOKUP($B377,ma!$A:$B,2,0)</f>
        <v>LOTTE-GÒ VẤP</v>
      </c>
      <c r="G377" s="102" t="s">
        <v>1940</v>
      </c>
      <c r="H377" s="103" t="s">
        <v>1906</v>
      </c>
      <c r="I377" s="104"/>
      <c r="J377" s="105" t="s">
        <v>119</v>
      </c>
      <c r="K377" s="106">
        <v>2</v>
      </c>
      <c r="L377" s="107">
        <f t="shared" si="57"/>
        <v>100000</v>
      </c>
      <c r="M377" s="104"/>
      <c r="N377" s="101"/>
      <c r="O377" s="101">
        <v>1</v>
      </c>
      <c r="P377" s="104">
        <f>VLOOKUP($B377,ma!$A:$C,3,0)</f>
        <v>800000</v>
      </c>
      <c r="Q377" s="108">
        <v>880000</v>
      </c>
      <c r="R377" s="109">
        <v>0.1</v>
      </c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spans="1:27" ht="14">
      <c r="A378" s="97">
        <f t="shared" si="56"/>
        <v>6</v>
      </c>
      <c r="B378" s="98" t="s">
        <v>148</v>
      </c>
      <c r="C378" s="99" t="s">
        <v>64</v>
      </c>
      <c r="D378" s="100">
        <v>46188</v>
      </c>
      <c r="E378" s="99" t="e">
        <f>VLOOKUP($C378,xe!$A:$B,2,0)</f>
        <v>#N/A</v>
      </c>
      <c r="F378" s="101" t="str">
        <f>VLOOKUP($B378,ma!$A:$B,2,0)</f>
        <v>PHẠM ANH HÓC MÔN</v>
      </c>
      <c r="G378" s="102"/>
      <c r="H378" s="103"/>
      <c r="I378" s="104"/>
      <c r="J378" s="126" t="s">
        <v>1520</v>
      </c>
      <c r="K378" s="106">
        <v>2</v>
      </c>
      <c r="L378" s="107">
        <f t="shared" si="57"/>
        <v>100000</v>
      </c>
      <c r="M378" s="104"/>
      <c r="N378" s="101"/>
      <c r="O378" s="101">
        <v>1</v>
      </c>
      <c r="P378" s="104">
        <f>VLOOKUP($B378,ma!$A:$C,3,0)</f>
        <v>800000</v>
      </c>
      <c r="Q378" s="108">
        <v>880000</v>
      </c>
      <c r="R378" s="109">
        <v>0.1</v>
      </c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spans="1:27" ht="14">
      <c r="A379" s="97">
        <f t="shared" si="56"/>
        <v>7</v>
      </c>
      <c r="B379" s="98" t="s">
        <v>287</v>
      </c>
      <c r="C379" s="99" t="s">
        <v>1484</v>
      </c>
      <c r="D379" s="100">
        <v>46188</v>
      </c>
      <c r="E379" s="99" t="e">
        <f>VLOOKUP($C379,xe!$A:$B,2,0)</f>
        <v>#N/A</v>
      </c>
      <c r="F379" s="101" t="str">
        <f>VLOOKUP($B379,ma!$A:$B,2,0)</f>
        <v>ANFOOD Q12 ( K BX )</v>
      </c>
      <c r="G379" s="102" t="s">
        <v>1941</v>
      </c>
      <c r="H379" s="103" t="s">
        <v>1912</v>
      </c>
      <c r="I379" s="104"/>
      <c r="J379" s="99"/>
      <c r="K379" s="106">
        <v>2</v>
      </c>
      <c r="L379" s="107"/>
      <c r="M379" s="104"/>
      <c r="N379" s="101"/>
      <c r="O379" s="101">
        <v>1</v>
      </c>
      <c r="P379" s="104">
        <f>VLOOKUP($B379,ma!$A:$C,3,0)</f>
        <v>800000</v>
      </c>
      <c r="Q379" s="108">
        <v>880000</v>
      </c>
      <c r="R379" s="109">
        <v>0.1</v>
      </c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spans="1:27" ht="14">
      <c r="A380" s="97">
        <f t="shared" si="56"/>
        <v>8</v>
      </c>
      <c r="B380" s="98" t="s">
        <v>287</v>
      </c>
      <c r="C380" s="99" t="s">
        <v>62</v>
      </c>
      <c r="D380" s="100">
        <v>46188</v>
      </c>
      <c r="E380" s="114" t="e">
        <f>VLOOKUP($C380,xe!$A:$B,2,0)</f>
        <v>#N/A</v>
      </c>
      <c r="F380" s="101" t="str">
        <f>VLOOKUP($B380,ma!$A:$B,2,0)</f>
        <v>ANFOOD Q12 ( K BX )</v>
      </c>
      <c r="G380" s="102"/>
      <c r="H380" s="103"/>
      <c r="I380" s="104"/>
      <c r="J380" s="99"/>
      <c r="K380" s="106"/>
      <c r="L380" s="107"/>
      <c r="M380" s="104"/>
      <c r="N380" s="101"/>
      <c r="O380" s="101">
        <v>1</v>
      </c>
      <c r="P380" s="104">
        <f>VLOOKUP($B380,ma!$A:$C,3,0)</f>
        <v>800000</v>
      </c>
      <c r="Q380" s="108">
        <v>880000</v>
      </c>
      <c r="R380" s="109">
        <v>0.1</v>
      </c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spans="1:27" ht="14">
      <c r="A381" s="97">
        <f t="shared" si="56"/>
        <v>9</v>
      </c>
      <c r="B381" s="98" t="s">
        <v>1188</v>
      </c>
      <c r="C381" s="99" t="s">
        <v>24</v>
      </c>
      <c r="D381" s="100">
        <v>46188</v>
      </c>
      <c r="E381" s="99" t="str">
        <f>VLOOKUP($C381,xe!$A:$B,2,0)</f>
        <v>50H-55161</v>
      </c>
      <c r="F381" s="101" t="str">
        <f>VLOOKUP($B381,ma!$A:$B,2,0)</f>
        <v>SATRA PHẠM HÙNG</v>
      </c>
      <c r="G381" s="102" t="s">
        <v>1942</v>
      </c>
      <c r="H381" s="103" t="s">
        <v>1906</v>
      </c>
      <c r="I381" s="104"/>
      <c r="J381" s="133" t="s">
        <v>1943</v>
      </c>
      <c r="K381" s="106">
        <v>2.4</v>
      </c>
      <c r="L381" s="107">
        <f t="shared" ref="L381:L382" si="58">K381*50000</f>
        <v>120000</v>
      </c>
      <c r="M381" s="104"/>
      <c r="N381" s="101"/>
      <c r="O381" s="101">
        <v>1</v>
      </c>
      <c r="P381" s="104">
        <f>VLOOKUP($B381,ma!$A:$C,3,0)</f>
        <v>800000</v>
      </c>
      <c r="Q381" s="108">
        <v>880000</v>
      </c>
      <c r="R381" s="109">
        <v>0.1</v>
      </c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spans="1:27" ht="14">
      <c r="A382" s="97">
        <f t="shared" si="56"/>
        <v>10</v>
      </c>
      <c r="B382" s="98" t="s">
        <v>452</v>
      </c>
      <c r="C382" s="99" t="s">
        <v>1846</v>
      </c>
      <c r="D382" s="100">
        <v>46188</v>
      </c>
      <c r="E382" s="99" t="str">
        <f>VLOOKUP($C382,xe!$A:$B,2,0)</f>
        <v>50H-50999</v>
      </c>
      <c r="F382" s="101" t="str">
        <f>VLOOKUP($B382,ma!$A:$B,2,0)</f>
        <v>NGUYỄN TRƯƠNG</v>
      </c>
      <c r="G382" s="134" t="s">
        <v>1944</v>
      </c>
      <c r="H382" s="103" t="s">
        <v>1906</v>
      </c>
      <c r="I382" s="104"/>
      <c r="J382" s="135" t="s">
        <v>1945</v>
      </c>
      <c r="K382" s="106">
        <v>2.4</v>
      </c>
      <c r="L382" s="107">
        <f t="shared" si="58"/>
        <v>120000</v>
      </c>
      <c r="M382" s="104"/>
      <c r="N382" s="101"/>
      <c r="O382" s="101">
        <v>1</v>
      </c>
      <c r="P382" s="104">
        <f>VLOOKUP($B382,ma!$A:$C,3,0)</f>
        <v>800000</v>
      </c>
      <c r="Q382" s="108">
        <v>880000</v>
      </c>
      <c r="R382" s="109">
        <v>0.1</v>
      </c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spans="1:27" ht="14">
      <c r="A383" s="97">
        <f t="shared" si="56"/>
        <v>11</v>
      </c>
      <c r="B383" s="98" t="s">
        <v>781</v>
      </c>
      <c r="C383" s="99" t="s">
        <v>1509</v>
      </c>
      <c r="D383" s="100">
        <v>46188</v>
      </c>
      <c r="E383" s="99" t="str">
        <f>VLOOKUP($C383,xe!$A:$B,2,0)</f>
        <v>50H-70216</v>
      </c>
      <c r="F383" s="101" t="str">
        <f>VLOOKUP($B383,ma!$A:$B,2,0)</f>
        <v>SONG HỒNG TÂN ( KBX )</v>
      </c>
      <c r="G383" s="102" t="s">
        <v>1946</v>
      </c>
      <c r="H383" s="103" t="s">
        <v>1906</v>
      </c>
      <c r="I383" s="104"/>
      <c r="J383" s="99"/>
      <c r="K383" s="106">
        <v>1.8</v>
      </c>
      <c r="L383" s="107">
        <v>50000</v>
      </c>
      <c r="M383" s="104"/>
      <c r="N383" s="101"/>
      <c r="O383" s="101">
        <v>1</v>
      </c>
      <c r="P383" s="104">
        <f>VLOOKUP($B383,ma!$A:$C,3,0)</f>
        <v>900000</v>
      </c>
      <c r="Q383" s="108">
        <v>990000</v>
      </c>
      <c r="R383" s="109">
        <v>0.1</v>
      </c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spans="1:27" ht="14">
      <c r="A384" s="97">
        <f t="shared" si="56"/>
        <v>12</v>
      </c>
      <c r="B384" s="98" t="s">
        <v>781</v>
      </c>
      <c r="C384" s="99" t="s">
        <v>63</v>
      </c>
      <c r="D384" s="100">
        <v>46188</v>
      </c>
      <c r="E384" s="99" t="e">
        <f>VLOOKUP($C384,xe!$A:$B,2,0)</f>
        <v>#N/A</v>
      </c>
      <c r="F384" s="101" t="str">
        <f>VLOOKUP($B384,ma!$A:$B,2,0)</f>
        <v>SONG HỒNG TÂN ( KBX )</v>
      </c>
      <c r="G384" s="102" t="s">
        <v>1947</v>
      </c>
      <c r="H384" s="103" t="s">
        <v>1906</v>
      </c>
      <c r="I384" s="104"/>
      <c r="J384" s="99"/>
      <c r="K384" s="106">
        <v>1.8</v>
      </c>
      <c r="L384" s="107"/>
      <c r="M384" s="104"/>
      <c r="N384" s="101"/>
      <c r="O384" s="101">
        <v>1</v>
      </c>
      <c r="P384" s="104">
        <f>VLOOKUP($B384,ma!$A:$C,3,0)</f>
        <v>900000</v>
      </c>
      <c r="Q384" s="108">
        <v>990000</v>
      </c>
      <c r="R384" s="109">
        <v>0.1</v>
      </c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spans="1:27" ht="14">
      <c r="A385" s="97">
        <f t="shared" si="56"/>
        <v>13</v>
      </c>
      <c r="B385" s="98" t="s">
        <v>781</v>
      </c>
      <c r="C385" s="99" t="s">
        <v>16</v>
      </c>
      <c r="D385" s="100">
        <v>46188</v>
      </c>
      <c r="E385" s="99" t="str">
        <f>VLOOKUP($C385,xe!$A:$B,2,0)</f>
        <v>50H-74619</v>
      </c>
      <c r="F385" s="101" t="str">
        <f>VLOOKUP($B385,ma!$A:$B,2,0)</f>
        <v>SONG HỒNG TÂN ( KBX )</v>
      </c>
      <c r="G385" s="102" t="s">
        <v>1948</v>
      </c>
      <c r="H385" s="103" t="s">
        <v>1949</v>
      </c>
      <c r="I385" s="104"/>
      <c r="J385" s="99"/>
      <c r="K385" s="106">
        <v>1.8</v>
      </c>
      <c r="L385" s="107">
        <v>50000</v>
      </c>
      <c r="M385" s="104"/>
      <c r="N385" s="101"/>
      <c r="O385" s="101">
        <v>1</v>
      </c>
      <c r="P385" s="104">
        <f>VLOOKUP($B385,ma!$A:$C,3,0)</f>
        <v>900000</v>
      </c>
      <c r="Q385" s="108">
        <v>990000</v>
      </c>
      <c r="R385" s="109">
        <v>0.1</v>
      </c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spans="1:27" ht="14">
      <c r="A386" s="97">
        <f t="shared" si="56"/>
        <v>14</v>
      </c>
      <c r="B386" s="98" t="s">
        <v>781</v>
      </c>
      <c r="C386" s="99" t="s">
        <v>1570</v>
      </c>
      <c r="D386" s="100">
        <v>46188</v>
      </c>
      <c r="E386" s="99" t="str">
        <f>VLOOKUP($C386,xe!$A:$B,2,0)</f>
        <v>50H-66445</v>
      </c>
      <c r="F386" s="101" t="str">
        <f>VLOOKUP($B386,ma!$A:$B,2,0)</f>
        <v>SONG HỒNG TÂN ( KBX )</v>
      </c>
      <c r="G386" s="102" t="s">
        <v>1950</v>
      </c>
      <c r="H386" s="103" t="s">
        <v>1906</v>
      </c>
      <c r="I386" s="104"/>
      <c r="J386" s="99"/>
      <c r="K386" s="106">
        <v>1.8</v>
      </c>
      <c r="L386" s="107">
        <v>50000</v>
      </c>
      <c r="M386" s="104"/>
      <c r="N386" s="101"/>
      <c r="O386" s="101">
        <v>1</v>
      </c>
      <c r="P386" s="104">
        <f>VLOOKUP($B386,ma!$A:$C,3,0)</f>
        <v>900000</v>
      </c>
      <c r="Q386" s="108">
        <v>990000</v>
      </c>
      <c r="R386" s="109">
        <v>0.1</v>
      </c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spans="1:27" ht="14">
      <c r="A387" s="97">
        <f t="shared" si="56"/>
        <v>15</v>
      </c>
      <c r="B387" s="98" t="s">
        <v>781</v>
      </c>
      <c r="C387" s="99" t="s">
        <v>1554</v>
      </c>
      <c r="D387" s="100">
        <v>46188</v>
      </c>
      <c r="E387" s="99" t="str">
        <f>VLOOKUP($C387,xe!$A:$B,2,0)</f>
        <v>50H-63174</v>
      </c>
      <c r="F387" s="101" t="str">
        <f>VLOOKUP($B387,ma!$A:$B,2,0)</f>
        <v>SONG HỒNG TÂN ( KBX )</v>
      </c>
      <c r="G387" s="102" t="s">
        <v>1951</v>
      </c>
      <c r="H387" s="103" t="s">
        <v>1906</v>
      </c>
      <c r="I387" s="104"/>
      <c r="J387" s="99"/>
      <c r="K387" s="106">
        <v>1.8</v>
      </c>
      <c r="L387" s="107">
        <v>50000</v>
      </c>
      <c r="M387" s="104"/>
      <c r="N387" s="101"/>
      <c r="O387" s="101">
        <v>1</v>
      </c>
      <c r="P387" s="104">
        <f>VLOOKUP($B387,ma!$A:$C,3,0)</f>
        <v>900000</v>
      </c>
      <c r="Q387" s="108">
        <v>990000</v>
      </c>
      <c r="R387" s="109">
        <v>0.1</v>
      </c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spans="1:27" ht="14">
      <c r="A388" s="97">
        <f t="shared" si="56"/>
        <v>16</v>
      </c>
      <c r="B388" s="98" t="s">
        <v>601</v>
      </c>
      <c r="C388" s="99" t="s">
        <v>26</v>
      </c>
      <c r="D388" s="100">
        <v>46188</v>
      </c>
      <c r="E388" s="99" t="str">
        <f>VLOOKUP($C388,xe!$A:$B,2,0)</f>
        <v>50H-55443</v>
      </c>
      <c r="F388" s="101" t="str">
        <f>VLOOKUP($B388,ma!$A:$B,2,0)</f>
        <v>LÀNG MAKARA ( KBX )</v>
      </c>
      <c r="G388" s="102" t="s">
        <v>1952</v>
      </c>
      <c r="H388" s="103" t="s">
        <v>1906</v>
      </c>
      <c r="I388" s="104"/>
      <c r="J388" s="99"/>
      <c r="K388" s="106">
        <v>2</v>
      </c>
      <c r="L388" s="107">
        <v>50000</v>
      </c>
      <c r="M388" s="104">
        <v>70000</v>
      </c>
      <c r="N388" s="101" t="s">
        <v>1953</v>
      </c>
      <c r="O388" s="101">
        <v>1</v>
      </c>
      <c r="P388" s="104">
        <f>VLOOKUP($B388,ma!$A:$C,3,0)</f>
        <v>800000</v>
      </c>
      <c r="Q388" s="108">
        <v>880000</v>
      </c>
      <c r="R388" s="109">
        <v>0.1</v>
      </c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spans="1:27" ht="14">
      <c r="A389" s="97">
        <f t="shared" si="56"/>
        <v>17</v>
      </c>
      <c r="B389" s="98" t="s">
        <v>691</v>
      </c>
      <c r="C389" s="99" t="s">
        <v>14</v>
      </c>
      <c r="D389" s="100">
        <v>46188</v>
      </c>
      <c r="E389" s="99" t="str">
        <f>VLOOKUP($C389,xe!$A:$B,2,0)</f>
        <v>51H -88294</v>
      </c>
      <c r="F389" s="101" t="str">
        <f>VLOOKUP($B389,ma!$A:$B,2,0)</f>
        <v>TRÍ ĐỨC CỦ CHI</v>
      </c>
      <c r="G389" s="102" t="s">
        <v>1954</v>
      </c>
      <c r="H389" s="103" t="s">
        <v>1906</v>
      </c>
      <c r="I389" s="104"/>
      <c r="J389" s="99"/>
      <c r="K389" s="106">
        <v>2</v>
      </c>
      <c r="L389" s="107">
        <f>K389*50000</f>
        <v>100000</v>
      </c>
      <c r="M389" s="104"/>
      <c r="N389" s="101"/>
      <c r="O389" s="101">
        <v>1</v>
      </c>
      <c r="P389" s="104">
        <f>VLOOKUP($B389,ma!$A:$C,3,0)</f>
        <v>900000</v>
      </c>
      <c r="Q389" s="108">
        <v>990000</v>
      </c>
      <c r="R389" s="109">
        <v>0.1</v>
      </c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spans="1:27" ht="14">
      <c r="A390" s="97">
        <f t="shared" si="56"/>
        <v>18</v>
      </c>
      <c r="B390" s="98" t="s">
        <v>1955</v>
      </c>
      <c r="C390" s="99" t="s">
        <v>1695</v>
      </c>
      <c r="D390" s="100">
        <v>46188</v>
      </c>
      <c r="E390" s="99" t="str">
        <f>VLOOKUP($C390,xe!$A:$B,2,0)</f>
        <v>50H-64316</v>
      </c>
      <c r="F390" s="101" t="str">
        <f>VLOOKUP($B390,ma!$A:$B,2,0)</f>
        <v>OCM ĐỨC HOÀ ( K BX )</v>
      </c>
      <c r="G390" s="102" t="s">
        <v>1956</v>
      </c>
      <c r="H390" s="103" t="s">
        <v>1906</v>
      </c>
      <c r="I390" s="104"/>
      <c r="J390" s="99"/>
      <c r="K390" s="106">
        <v>2</v>
      </c>
      <c r="L390" s="107">
        <v>50000</v>
      </c>
      <c r="M390" s="104"/>
      <c r="N390" s="101"/>
      <c r="O390" s="101">
        <v>1</v>
      </c>
      <c r="P390" s="104">
        <f>VLOOKUP($B390,ma!$A:$C,3,0)</f>
        <v>900000</v>
      </c>
      <c r="Q390" s="108">
        <v>990000</v>
      </c>
      <c r="R390" s="109">
        <v>0.1</v>
      </c>
      <c r="S390" s="111"/>
      <c r="T390" s="111"/>
      <c r="U390" s="111"/>
      <c r="V390" s="111"/>
      <c r="W390" s="111"/>
      <c r="X390" s="111"/>
      <c r="Y390" s="111"/>
      <c r="Z390" s="111"/>
      <c r="AA390" s="111"/>
    </row>
    <row r="391" spans="1:27" ht="14">
      <c r="A391" s="97">
        <f t="shared" si="56"/>
        <v>19</v>
      </c>
      <c r="B391" s="98" t="s">
        <v>563</v>
      </c>
      <c r="C391" s="99" t="s">
        <v>6</v>
      </c>
      <c r="D391" s="100">
        <v>46188</v>
      </c>
      <c r="E391" s="99" t="str">
        <f>VLOOKUP($C391,xe!$A:$B,2,0)</f>
        <v>50H-69501</v>
      </c>
      <c r="F391" s="101" t="str">
        <f>VLOOKUP($B391,ma!$A:$B,2,0)</f>
        <v>PHẠM PHAN MES THỦ ĐỨC ( KBX )</v>
      </c>
      <c r="G391" s="102" t="s">
        <v>1957</v>
      </c>
      <c r="H391" s="103" t="s">
        <v>1906</v>
      </c>
      <c r="I391" s="104"/>
      <c r="J391" s="99"/>
      <c r="K391" s="106">
        <v>2</v>
      </c>
      <c r="L391" s="113">
        <v>50000</v>
      </c>
      <c r="M391" s="129">
        <v>80000</v>
      </c>
      <c r="N391" s="130" t="s">
        <v>1958</v>
      </c>
      <c r="O391" s="101">
        <v>1</v>
      </c>
      <c r="P391" s="104">
        <f>VLOOKUP($B391,ma!$A:$C,3,0)</f>
        <v>800000</v>
      </c>
      <c r="Q391" s="108">
        <v>880000</v>
      </c>
      <c r="R391" s="109">
        <v>0.1</v>
      </c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spans="1:27" ht="14">
      <c r="A392" s="97">
        <f t="shared" si="56"/>
        <v>20</v>
      </c>
      <c r="B392" s="98" t="s">
        <v>563</v>
      </c>
      <c r="C392" s="99" t="s">
        <v>28</v>
      </c>
      <c r="D392" s="100">
        <v>46188</v>
      </c>
      <c r="E392" s="99" t="str">
        <f>VLOOKUP($C392,xe!$A:$B,2,0)</f>
        <v>50H-54580</v>
      </c>
      <c r="F392" s="101" t="str">
        <f>VLOOKUP($B392,ma!$A:$B,2,0)</f>
        <v>PHẠM PHAN MES THỦ ĐỨC ( KBX )</v>
      </c>
      <c r="G392" s="102" t="s">
        <v>1959</v>
      </c>
      <c r="H392" s="103" t="s">
        <v>1906</v>
      </c>
      <c r="I392" s="104"/>
      <c r="J392" s="99"/>
      <c r="K392" s="106">
        <v>2.2000000000000002</v>
      </c>
      <c r="L392" s="113">
        <v>50000</v>
      </c>
      <c r="M392" s="129">
        <v>80000</v>
      </c>
      <c r="N392" s="130" t="s">
        <v>1958</v>
      </c>
      <c r="O392" s="101">
        <v>1</v>
      </c>
      <c r="P392" s="104">
        <f>VLOOKUP($B392,ma!$A:$C,3,0)</f>
        <v>800000</v>
      </c>
      <c r="Q392" s="108">
        <v>880000</v>
      </c>
      <c r="R392" s="109">
        <v>0.1</v>
      </c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spans="1:27" ht="14">
      <c r="A393" s="97">
        <f t="shared" si="56"/>
        <v>21</v>
      </c>
      <c r="B393" s="98" t="s">
        <v>563</v>
      </c>
      <c r="C393" s="99" t="s">
        <v>18</v>
      </c>
      <c r="D393" s="100">
        <v>46188</v>
      </c>
      <c r="E393" s="99" t="str">
        <f>VLOOKUP($C393,xe!$A:$B,2,0)</f>
        <v>50H 87442</v>
      </c>
      <c r="F393" s="101" t="str">
        <f>VLOOKUP($B393,ma!$A:$B,2,0)</f>
        <v>PHẠM PHAN MES THỦ ĐỨC ( KBX )</v>
      </c>
      <c r="G393" s="102" t="s">
        <v>1960</v>
      </c>
      <c r="H393" s="103" t="s">
        <v>1906</v>
      </c>
      <c r="I393" s="104"/>
      <c r="J393" s="99"/>
      <c r="K393" s="106">
        <v>2.2000000000000002</v>
      </c>
      <c r="L393" s="113">
        <v>50000</v>
      </c>
      <c r="M393" s="129">
        <v>80000</v>
      </c>
      <c r="N393" s="130" t="s">
        <v>1958</v>
      </c>
      <c r="O393" s="101">
        <v>1</v>
      </c>
      <c r="P393" s="104">
        <f>VLOOKUP($B393,ma!$A:$C,3,0)</f>
        <v>800000</v>
      </c>
      <c r="Q393" s="108">
        <v>880000</v>
      </c>
      <c r="R393" s="109">
        <v>0.1</v>
      </c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spans="1:27" ht="14">
      <c r="A394" s="97">
        <f t="shared" si="56"/>
        <v>22</v>
      </c>
      <c r="B394" s="98" t="s">
        <v>673</v>
      </c>
      <c r="C394" s="99" t="s">
        <v>4</v>
      </c>
      <c r="D394" s="100">
        <v>46188</v>
      </c>
      <c r="E394" s="99" t="str">
        <f>VLOOKUP($C394,xe!$A:$B,2,0)</f>
        <v>50H-55116</v>
      </c>
      <c r="F394" s="101" t="str">
        <f>VLOOKUP($B394,ma!$A:$B,2,0)</f>
        <v>THỌ PHÁT</v>
      </c>
      <c r="G394" s="102" t="s">
        <v>1961</v>
      </c>
      <c r="H394" s="103" t="s">
        <v>1906</v>
      </c>
      <c r="I394" s="104"/>
      <c r="J394" s="99"/>
      <c r="K394" s="106">
        <v>1.4</v>
      </c>
      <c r="L394" s="107">
        <f t="shared" ref="L394:L395" si="59">K394*50000</f>
        <v>70000</v>
      </c>
      <c r="M394" s="104"/>
      <c r="N394" s="101"/>
      <c r="O394" s="101">
        <v>1</v>
      </c>
      <c r="P394" s="104">
        <f>VLOOKUP($B394,ma!$A:$C,3,0)</f>
        <v>500000</v>
      </c>
      <c r="Q394" s="108">
        <v>550000</v>
      </c>
      <c r="R394" s="109">
        <v>0.1</v>
      </c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spans="1:27" ht="14">
      <c r="A395" s="97">
        <f t="shared" si="56"/>
        <v>23</v>
      </c>
      <c r="B395" s="98" t="s">
        <v>925</v>
      </c>
      <c r="C395" s="99" t="s">
        <v>4</v>
      </c>
      <c r="D395" s="100">
        <v>46188</v>
      </c>
      <c r="E395" s="99" t="str">
        <f>VLOOKUP($C395,xe!$A:$B,2,0)</f>
        <v>50H-55116</v>
      </c>
      <c r="F395" s="101" t="str">
        <f>VLOOKUP($B395,ma!$A:$B,2,0)</f>
        <v>IC FOOD TÂN PHÚ</v>
      </c>
      <c r="G395" s="102" t="s">
        <v>1962</v>
      </c>
      <c r="H395" s="103" t="s">
        <v>1906</v>
      </c>
      <c r="I395" s="104"/>
      <c r="J395" s="99"/>
      <c r="K395" s="106">
        <v>1.4</v>
      </c>
      <c r="L395" s="107">
        <f t="shared" si="59"/>
        <v>70000</v>
      </c>
      <c r="M395" s="104"/>
      <c r="N395" s="101"/>
      <c r="O395" s="101">
        <v>1</v>
      </c>
      <c r="P395" s="104">
        <f>VLOOKUP($B395,ma!$A:$C,3,0)</f>
        <v>800000</v>
      </c>
      <c r="Q395" s="108">
        <v>880000</v>
      </c>
      <c r="R395" s="109">
        <v>0.1</v>
      </c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spans="1:27" ht="14">
      <c r="A396" s="97">
        <f t="shared" si="56"/>
        <v>24</v>
      </c>
      <c r="B396" s="98" t="s">
        <v>138</v>
      </c>
      <c r="C396" s="99" t="s">
        <v>1570</v>
      </c>
      <c r="D396" s="100">
        <v>46188</v>
      </c>
      <c r="E396" s="99" t="str">
        <f>VLOOKUP($C396,xe!$A:$B,2,0)</f>
        <v>50H-66445</v>
      </c>
      <c r="F396" s="101" t="str">
        <f>VLOOKUP($B396,ma!$A:$B,2,0)</f>
        <v>QUẬN 9</v>
      </c>
      <c r="G396" s="102" t="s">
        <v>1963</v>
      </c>
      <c r="H396" s="103" t="s">
        <v>1906</v>
      </c>
      <c r="I396" s="104"/>
      <c r="J396" s="105" t="s">
        <v>97</v>
      </c>
      <c r="K396" s="106">
        <v>1.6</v>
      </c>
      <c r="L396" s="107"/>
      <c r="M396" s="104"/>
      <c r="N396" s="101"/>
      <c r="O396" s="101">
        <v>1</v>
      </c>
      <c r="P396" s="104">
        <f>VLOOKUP($B396,ma!$A:$C,3,0)</f>
        <v>800000</v>
      </c>
      <c r="Q396" s="108">
        <v>880000</v>
      </c>
      <c r="R396" s="109">
        <v>0.1</v>
      </c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spans="1:27" ht="14">
      <c r="A397" s="97">
        <f t="shared" si="56"/>
        <v>25</v>
      </c>
      <c r="B397" s="98" t="s">
        <v>148</v>
      </c>
      <c r="C397" s="99" t="s">
        <v>63</v>
      </c>
      <c r="D397" s="100">
        <v>46188</v>
      </c>
      <c r="E397" s="99" t="e">
        <f>VLOOKUP($C397,xe!$A:$B,2,0)</f>
        <v>#N/A</v>
      </c>
      <c r="F397" s="101" t="str">
        <f>VLOOKUP($B397,ma!$A:$B,2,0)</f>
        <v>PHẠM ANH HÓC MÔN</v>
      </c>
      <c r="G397" s="102" t="s">
        <v>1964</v>
      </c>
      <c r="H397" s="103" t="s">
        <v>1906</v>
      </c>
      <c r="I397" s="104"/>
      <c r="J397" s="126" t="s">
        <v>1520</v>
      </c>
      <c r="K397" s="106">
        <v>2</v>
      </c>
      <c r="L397" s="107">
        <f>K397*50000</f>
        <v>100000</v>
      </c>
      <c r="M397" s="104"/>
      <c r="N397" s="101"/>
      <c r="O397" s="101">
        <v>1</v>
      </c>
      <c r="P397" s="104">
        <f>VLOOKUP($B397,ma!$A:$C,3,0)</f>
        <v>800000</v>
      </c>
      <c r="Q397" s="108">
        <v>880000</v>
      </c>
      <c r="R397" s="109">
        <v>0.1</v>
      </c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spans="1:27" ht="14">
      <c r="A398" s="97">
        <f t="shared" si="56"/>
        <v>26</v>
      </c>
      <c r="B398" s="98" t="s">
        <v>1113</v>
      </c>
      <c r="C398" s="99" t="s">
        <v>1484</v>
      </c>
      <c r="D398" s="100">
        <v>46188</v>
      </c>
      <c r="E398" s="99" t="e">
        <f>VLOOKUP($C398,xe!$A:$B,2,0)</f>
        <v>#N/A</v>
      </c>
      <c r="F398" s="101" t="str">
        <f>VLOOKUP($B398,ma!$A:$B,2,0)</f>
        <v>BHX ( VL)</v>
      </c>
      <c r="G398" s="102" t="s">
        <v>1965</v>
      </c>
      <c r="H398" s="103" t="s">
        <v>1912</v>
      </c>
      <c r="I398" s="104"/>
      <c r="J398" s="105" t="s">
        <v>465</v>
      </c>
      <c r="K398" s="106">
        <v>2</v>
      </c>
      <c r="L398" s="107">
        <f>K398*80000</f>
        <v>160000</v>
      </c>
      <c r="M398" s="104"/>
      <c r="N398" s="101"/>
      <c r="O398" s="101">
        <v>1</v>
      </c>
      <c r="P398" s="104">
        <f>VLOOKUP($B398,ma!$A:$C,3,0)</f>
        <v>800000</v>
      </c>
      <c r="Q398" s="108">
        <v>880000</v>
      </c>
      <c r="R398" s="109">
        <v>0.1</v>
      </c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spans="1:27" ht="14">
      <c r="A399" s="97">
        <f t="shared" si="56"/>
        <v>27</v>
      </c>
      <c r="B399" s="98" t="s">
        <v>1143</v>
      </c>
      <c r="C399" s="99" t="s">
        <v>1549</v>
      </c>
      <c r="D399" s="100">
        <v>46188</v>
      </c>
      <c r="E399" s="99" t="str">
        <f>VLOOKUP($C399,xe!$A:$B,2,0)</f>
        <v>50H-55443</v>
      </c>
      <c r="F399" s="101" t="str">
        <f>VLOOKUP($B399,ma!$A:$B,2,0)</f>
        <v>AEON RDC Q12</v>
      </c>
      <c r="G399" s="102" t="s">
        <v>1966</v>
      </c>
      <c r="H399" s="103" t="s">
        <v>1906</v>
      </c>
      <c r="I399" s="104"/>
      <c r="J399" s="105" t="s">
        <v>119</v>
      </c>
      <c r="K399" s="106">
        <v>1.8</v>
      </c>
      <c r="L399" s="107">
        <f t="shared" ref="L399:L401" si="60">K399*50000</f>
        <v>90000</v>
      </c>
      <c r="M399" s="104"/>
      <c r="N399" s="101"/>
      <c r="O399" s="101">
        <v>1</v>
      </c>
      <c r="P399" s="104">
        <f>VLOOKUP($B399,ma!$A:$C,3,0)</f>
        <v>800000</v>
      </c>
      <c r="Q399" s="108">
        <v>880000</v>
      </c>
      <c r="R399" s="109">
        <v>0.1</v>
      </c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spans="1:27" ht="14">
      <c r="A400" s="97">
        <f t="shared" si="56"/>
        <v>28</v>
      </c>
      <c r="B400" s="98" t="s">
        <v>1769</v>
      </c>
      <c r="C400" s="99" t="s">
        <v>24</v>
      </c>
      <c r="D400" s="100">
        <v>46188</v>
      </c>
      <c r="E400" s="99" t="str">
        <f>VLOOKUP($C400,xe!$A:$B,2,0)</f>
        <v>50H-55161</v>
      </c>
      <c r="F400" s="101" t="str">
        <f>VLOOKUP($B400,ma!$A:$B,2,0)</f>
        <v>M. AN PHÚ</v>
      </c>
      <c r="G400" s="102" t="s">
        <v>1640</v>
      </c>
      <c r="H400" s="103" t="s">
        <v>1906</v>
      </c>
      <c r="I400" s="104"/>
      <c r="J400" s="105" t="s">
        <v>119</v>
      </c>
      <c r="K400" s="106">
        <v>1.8</v>
      </c>
      <c r="L400" s="107">
        <f t="shared" si="60"/>
        <v>90000</v>
      </c>
      <c r="M400" s="104"/>
      <c r="N400" s="101"/>
      <c r="O400" s="101">
        <v>1</v>
      </c>
      <c r="P400" s="104">
        <f>VLOOKUP($B400,ma!$A:$C,3,0)</f>
        <v>800000</v>
      </c>
      <c r="Q400" s="108">
        <v>880000</v>
      </c>
      <c r="R400" s="109">
        <v>0.1</v>
      </c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spans="1:27" ht="14">
      <c r="A401" s="97">
        <f t="shared" si="56"/>
        <v>29</v>
      </c>
      <c r="B401" s="98" t="s">
        <v>1769</v>
      </c>
      <c r="C401" s="99" t="s">
        <v>1554</v>
      </c>
      <c r="D401" s="100">
        <v>46188</v>
      </c>
      <c r="E401" s="99" t="str">
        <f>VLOOKUP($C401,xe!$A:$B,2,0)</f>
        <v>50H-63174</v>
      </c>
      <c r="F401" s="101" t="str">
        <f>VLOOKUP($B401,ma!$A:$B,2,0)</f>
        <v>M. AN PHÚ</v>
      </c>
      <c r="G401" s="136" t="s">
        <v>1967</v>
      </c>
      <c r="H401" s="103" t="s">
        <v>1906</v>
      </c>
      <c r="I401" s="104"/>
      <c r="J401" s="105" t="s">
        <v>119</v>
      </c>
      <c r="K401" s="106">
        <v>1.8</v>
      </c>
      <c r="L401" s="107">
        <f t="shared" si="60"/>
        <v>90000</v>
      </c>
      <c r="M401" s="104"/>
      <c r="N401" s="101"/>
      <c r="O401" s="101">
        <v>1</v>
      </c>
      <c r="P401" s="104">
        <f>VLOOKUP($B401,ma!$A:$C,3,0)</f>
        <v>800000</v>
      </c>
      <c r="Q401" s="108">
        <v>880000</v>
      </c>
      <c r="R401" s="109">
        <v>0.1</v>
      </c>
      <c r="S401" s="111"/>
      <c r="T401" s="111"/>
      <c r="U401" s="111"/>
      <c r="V401" s="111"/>
      <c r="W401" s="111"/>
      <c r="X401" s="111"/>
      <c r="Y401" s="111"/>
      <c r="Z401" s="111"/>
      <c r="AA401" s="111"/>
    </row>
    <row r="402" spans="1:27" ht="14">
      <c r="A402" s="97">
        <f t="shared" si="56"/>
        <v>30</v>
      </c>
      <c r="B402" s="98" t="s">
        <v>350</v>
      </c>
      <c r="C402" s="99" t="s">
        <v>1509</v>
      </c>
      <c r="D402" s="100">
        <v>46188</v>
      </c>
      <c r="E402" s="99" t="str">
        <f>VLOOKUP($C402,xe!$A:$B,2,0)</f>
        <v>50H-70216</v>
      </c>
      <c r="F402" s="101" t="str">
        <f>VLOOKUP($B402,ma!$A:$B,2,0)</f>
        <v>CKS - QUẬN 8</v>
      </c>
      <c r="G402" s="102" t="s">
        <v>1499</v>
      </c>
      <c r="H402" s="103" t="s">
        <v>1499</v>
      </c>
      <c r="I402" s="104"/>
      <c r="J402" s="99"/>
      <c r="K402" s="112">
        <v>2</v>
      </c>
      <c r="L402" s="113">
        <f>K402*100000</f>
        <v>200000</v>
      </c>
      <c r="M402" s="104"/>
      <c r="N402" s="101"/>
      <c r="O402" s="101">
        <v>1</v>
      </c>
      <c r="P402" s="104">
        <f>VLOOKUP($B402,ma!$A:$C,3,0)</f>
        <v>800000</v>
      </c>
      <c r="Q402" s="108">
        <v>880000</v>
      </c>
      <c r="R402" s="109">
        <v>0.1</v>
      </c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spans="1:27" ht="14">
      <c r="A403" s="97">
        <f t="shared" si="56"/>
        <v>31</v>
      </c>
      <c r="B403" s="98" t="s">
        <v>1968</v>
      </c>
      <c r="C403" s="99" t="s">
        <v>1695</v>
      </c>
      <c r="D403" s="100">
        <v>46188</v>
      </c>
      <c r="E403" s="99" t="str">
        <f>VLOOKUP($C403,xe!$A:$B,2,0)</f>
        <v>50H-64316</v>
      </c>
      <c r="F403" s="101" t="str">
        <f>VLOOKUP($B403,ma!$A:$B,2,0)</f>
        <v>V.HẬU LÂM BD ( K BX)</v>
      </c>
      <c r="G403" s="102" t="s">
        <v>1499</v>
      </c>
      <c r="H403" s="103" t="s">
        <v>1499</v>
      </c>
      <c r="I403" s="104"/>
      <c r="J403" s="99"/>
      <c r="K403" s="106">
        <v>1.6</v>
      </c>
      <c r="L403" s="107">
        <v>50000</v>
      </c>
      <c r="M403" s="104"/>
      <c r="N403" s="101"/>
      <c r="O403" s="101">
        <v>1</v>
      </c>
      <c r="P403" s="104">
        <v>500000</v>
      </c>
      <c r="Q403" s="108">
        <v>550000</v>
      </c>
      <c r="R403" s="109">
        <v>0.1</v>
      </c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spans="1:27" ht="14">
      <c r="A404" s="116">
        <v>1</v>
      </c>
      <c r="B404" s="117" t="s">
        <v>1702</v>
      </c>
      <c r="C404" s="118" t="s">
        <v>16</v>
      </c>
      <c r="D404" s="119">
        <v>46189</v>
      </c>
      <c r="E404" s="118" t="str">
        <f>VLOOKUP($C404,xe!$A:$B,2,0)</f>
        <v>50H-74619</v>
      </c>
      <c r="F404" s="120" t="str">
        <f>VLOOKUP($B404,ma!$A:$B,2,0)</f>
        <v>LOTTEMART-Q7</v>
      </c>
      <c r="G404" s="121" t="s">
        <v>1969</v>
      </c>
      <c r="H404" s="122" t="s">
        <v>1949</v>
      </c>
      <c r="I404" s="123"/>
      <c r="J404" s="105" t="s">
        <v>119</v>
      </c>
      <c r="K404" s="124">
        <v>1.4</v>
      </c>
      <c r="L404" s="125">
        <f t="shared" ref="L404:L408" si="61">K404*50000</f>
        <v>70000</v>
      </c>
      <c r="M404" s="123"/>
      <c r="N404" s="120"/>
      <c r="O404" s="120">
        <v>1</v>
      </c>
      <c r="P404" s="123">
        <f>VLOOKUP($B404,ma!$A:$C,3,0)</f>
        <v>800000</v>
      </c>
      <c r="Q404" s="108">
        <v>880000</v>
      </c>
      <c r="R404" s="109">
        <v>0.1</v>
      </c>
      <c r="S404" s="111"/>
      <c r="T404" s="111"/>
      <c r="U404" s="111"/>
      <c r="V404" s="111"/>
      <c r="W404" s="111"/>
      <c r="X404" s="111"/>
      <c r="Y404" s="111"/>
      <c r="Z404" s="111"/>
      <c r="AA404" s="111"/>
    </row>
    <row r="405" spans="1:27" ht="14">
      <c r="A405" s="97">
        <f t="shared" ref="A405:A409" si="62">A404+1</f>
        <v>2</v>
      </c>
      <c r="B405" s="98" t="s">
        <v>1702</v>
      </c>
      <c r="C405" s="99" t="s">
        <v>1846</v>
      </c>
      <c r="D405" s="100">
        <v>46189</v>
      </c>
      <c r="E405" s="99" t="str">
        <f>VLOOKUP($C405,xe!$A:$B,2,0)</f>
        <v>50H-50999</v>
      </c>
      <c r="F405" s="101" t="str">
        <f>VLOOKUP($B405,ma!$A:$B,2,0)</f>
        <v>LOTTEMART-Q7</v>
      </c>
      <c r="G405" s="102" t="s">
        <v>1970</v>
      </c>
      <c r="H405" s="103" t="s">
        <v>1949</v>
      </c>
      <c r="I405" s="104"/>
      <c r="J405" s="105" t="s">
        <v>119</v>
      </c>
      <c r="K405" s="106">
        <v>1.4</v>
      </c>
      <c r="L405" s="107">
        <f t="shared" si="61"/>
        <v>70000</v>
      </c>
      <c r="M405" s="104"/>
      <c r="N405" s="101"/>
      <c r="O405" s="101">
        <v>1</v>
      </c>
      <c r="P405" s="104">
        <f>VLOOKUP($B405,ma!$A:$C,3,0)</f>
        <v>800000</v>
      </c>
      <c r="Q405" s="108">
        <v>880000</v>
      </c>
      <c r="R405" s="109">
        <v>0.1</v>
      </c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spans="1:27" ht="14">
      <c r="A406" s="97">
        <f t="shared" si="62"/>
        <v>3</v>
      </c>
      <c r="B406" s="98" t="s">
        <v>1612</v>
      </c>
      <c r="C406" s="99" t="s">
        <v>1584</v>
      </c>
      <c r="D406" s="100">
        <v>46189</v>
      </c>
      <c r="E406" s="99" t="e">
        <f>VLOOKUP($C406,xe!$A:$B,2,0)</f>
        <v>#N/A</v>
      </c>
      <c r="F406" s="101" t="str">
        <f>VLOOKUP($B406,ma!$A:$B,2,0)</f>
        <v>E MART SALA</v>
      </c>
      <c r="G406" s="102" t="s">
        <v>1971</v>
      </c>
      <c r="H406" s="103" t="s">
        <v>1949</v>
      </c>
      <c r="I406" s="104"/>
      <c r="J406" s="105" t="s">
        <v>119</v>
      </c>
      <c r="K406" s="106">
        <v>1.5</v>
      </c>
      <c r="L406" s="107">
        <f t="shared" si="61"/>
        <v>75000</v>
      </c>
      <c r="M406" s="104"/>
      <c r="N406" s="101"/>
      <c r="O406" s="101">
        <v>1</v>
      </c>
      <c r="P406" s="104">
        <f>VLOOKUP($B406,ma!$A:$C,3,0)</f>
        <v>800000</v>
      </c>
      <c r="Q406" s="108">
        <v>880000</v>
      </c>
      <c r="R406" s="109">
        <v>0.1</v>
      </c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spans="1:27" ht="14">
      <c r="A407" s="97">
        <f t="shared" si="62"/>
        <v>4</v>
      </c>
      <c r="B407" s="98" t="s">
        <v>1490</v>
      </c>
      <c r="C407" s="99" t="s">
        <v>4</v>
      </c>
      <c r="D407" s="100">
        <v>46189</v>
      </c>
      <c r="E407" s="99" t="str">
        <f>VLOOKUP($C407,xe!$A:$B,2,0)</f>
        <v>50H-55116</v>
      </c>
      <c r="F407" s="101" t="str">
        <f>VLOOKUP($B407,ma!$A:$B,2,0)</f>
        <v>BC MIỀN ĐÔNG</v>
      </c>
      <c r="G407" s="102" t="s">
        <v>1972</v>
      </c>
      <c r="H407" s="103" t="s">
        <v>1949</v>
      </c>
      <c r="I407" s="104"/>
      <c r="J407" s="126" t="s">
        <v>1973</v>
      </c>
      <c r="K407" s="106">
        <v>2.4</v>
      </c>
      <c r="L407" s="107">
        <f t="shared" si="61"/>
        <v>120000</v>
      </c>
      <c r="M407" s="104"/>
      <c r="N407" s="101"/>
      <c r="O407" s="101">
        <v>1</v>
      </c>
      <c r="P407" s="104">
        <f>VLOOKUP($B407,ma!$A:$C,3,0)</f>
        <v>800000</v>
      </c>
      <c r="Q407" s="108">
        <v>880000</v>
      </c>
      <c r="R407" s="109">
        <v>0.1</v>
      </c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spans="1:27" ht="14">
      <c r="A408" s="97">
        <f t="shared" si="62"/>
        <v>5</v>
      </c>
      <c r="B408" s="98" t="s">
        <v>965</v>
      </c>
      <c r="C408" s="99" t="s">
        <v>1974</v>
      </c>
      <c r="D408" s="100">
        <v>46189</v>
      </c>
      <c r="E408" s="114" t="e">
        <f>VLOOKUP($C408,xe!$A:$B,2,0)</f>
        <v>#N/A</v>
      </c>
      <c r="F408" s="101" t="str">
        <f>VLOOKUP($B408,ma!$A:$B,2,0)</f>
        <v>METRO HƯNG PHÚ</v>
      </c>
      <c r="G408" s="102"/>
      <c r="H408" s="103"/>
      <c r="I408" s="104"/>
      <c r="J408" s="126" t="s">
        <v>1520</v>
      </c>
      <c r="K408" s="106">
        <v>1.2</v>
      </c>
      <c r="L408" s="107">
        <f t="shared" si="61"/>
        <v>60000</v>
      </c>
      <c r="M408" s="104"/>
      <c r="N408" s="101"/>
      <c r="O408" s="101">
        <v>1</v>
      </c>
      <c r="P408" s="104">
        <f>VLOOKUP($B408,ma!$A:$C,3,0)</f>
        <v>800000</v>
      </c>
      <c r="Q408" s="108">
        <v>880000</v>
      </c>
      <c r="R408" s="109">
        <v>0.1</v>
      </c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spans="1:27" ht="14">
      <c r="A409" s="97">
        <f t="shared" si="62"/>
        <v>6</v>
      </c>
      <c r="B409" s="98" t="s">
        <v>965</v>
      </c>
      <c r="C409" s="99" t="s">
        <v>1974</v>
      </c>
      <c r="D409" s="100">
        <v>46189</v>
      </c>
      <c r="E409" s="114" t="e">
        <f>VLOOKUP($C409,xe!$A:$B,2,0)</f>
        <v>#N/A</v>
      </c>
      <c r="F409" s="101" t="str">
        <f>VLOOKUP($B409,ma!$A:$B,2,0)</f>
        <v>METRO HƯNG PHÚ</v>
      </c>
      <c r="G409" s="102"/>
      <c r="H409" s="103"/>
      <c r="I409" s="104"/>
      <c r="J409" s="132" t="s">
        <v>1975</v>
      </c>
      <c r="K409" s="106"/>
      <c r="L409" s="107"/>
      <c r="M409" s="104"/>
      <c r="N409" s="101"/>
      <c r="O409" s="101">
        <v>1</v>
      </c>
      <c r="P409" s="104"/>
      <c r="Q409" s="108">
        <v>300000</v>
      </c>
      <c r="R409" s="109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spans="1:27" ht="14">
      <c r="A410" s="97">
        <f>A408+1</f>
        <v>6</v>
      </c>
      <c r="B410" s="98" t="s">
        <v>1710</v>
      </c>
      <c r="C410" s="99" t="s">
        <v>64</v>
      </c>
      <c r="D410" s="100">
        <v>46189</v>
      </c>
      <c r="E410" s="99" t="e">
        <f>VLOOKUP($C410,xe!$A:$B,2,0)</f>
        <v>#N/A</v>
      </c>
      <c r="F410" s="101" t="str">
        <f>VLOOKUP($B410,ma!$A:$B,2,0)</f>
        <v>M. BÌNH PHÚ</v>
      </c>
      <c r="G410" s="102"/>
      <c r="H410" s="103"/>
      <c r="I410" s="104"/>
      <c r="J410" s="99"/>
      <c r="K410" s="106"/>
      <c r="L410" s="107">
        <f t="shared" ref="L410:L413" si="63">K410*50000</f>
        <v>0</v>
      </c>
      <c r="M410" s="104"/>
      <c r="N410" s="101"/>
      <c r="O410" s="101">
        <v>1</v>
      </c>
      <c r="P410" s="104">
        <f>VLOOKUP($B410,ma!$A:$C,3,0)</f>
        <v>800000</v>
      </c>
      <c r="Q410" s="108">
        <v>880000</v>
      </c>
      <c r="R410" s="109">
        <v>0.1</v>
      </c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spans="1:27" ht="14">
      <c r="A411" s="97">
        <f t="shared" ref="A411:A433" si="64">A410+1</f>
        <v>7</v>
      </c>
      <c r="B411" s="98" t="s">
        <v>1710</v>
      </c>
      <c r="C411" s="99" t="s">
        <v>63</v>
      </c>
      <c r="D411" s="100">
        <v>46189</v>
      </c>
      <c r="E411" s="99" t="e">
        <f>VLOOKUP($C411,xe!$A:$B,2,0)</f>
        <v>#N/A</v>
      </c>
      <c r="F411" s="101" t="str">
        <f>VLOOKUP($B411,ma!$A:$B,2,0)</f>
        <v>M. BÌNH PHÚ</v>
      </c>
      <c r="G411" s="102"/>
      <c r="H411" s="103"/>
      <c r="I411" s="104"/>
      <c r="J411" s="99"/>
      <c r="K411" s="106">
        <v>2</v>
      </c>
      <c r="L411" s="107">
        <f t="shared" si="63"/>
        <v>100000</v>
      </c>
      <c r="M411" s="104"/>
      <c r="N411" s="101"/>
      <c r="O411" s="101">
        <v>1</v>
      </c>
      <c r="P411" s="104">
        <f>VLOOKUP($B411,ma!$A:$C,3,0)</f>
        <v>800000</v>
      </c>
      <c r="Q411" s="108">
        <v>880000</v>
      </c>
      <c r="R411" s="109">
        <v>0.1</v>
      </c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spans="1:27" ht="14">
      <c r="A412" s="97">
        <f t="shared" si="64"/>
        <v>8</v>
      </c>
      <c r="B412" s="98" t="s">
        <v>1710</v>
      </c>
      <c r="C412" s="99" t="s">
        <v>55</v>
      </c>
      <c r="D412" s="100">
        <v>46189</v>
      </c>
      <c r="E412" s="99" t="e">
        <f>VLOOKUP($C412,xe!$A:$B,2,0)</f>
        <v>#N/A</v>
      </c>
      <c r="F412" s="101" t="str">
        <f>VLOOKUP($B412,ma!$A:$B,2,0)</f>
        <v>M. BÌNH PHÚ</v>
      </c>
      <c r="G412" s="102"/>
      <c r="H412" s="103"/>
      <c r="I412" s="104"/>
      <c r="J412" s="99"/>
      <c r="K412" s="106"/>
      <c r="L412" s="107">
        <f t="shared" si="63"/>
        <v>0</v>
      </c>
      <c r="M412" s="104"/>
      <c r="N412" s="101"/>
      <c r="O412" s="101">
        <v>1</v>
      </c>
      <c r="P412" s="104">
        <f>VLOOKUP($B412,ma!$A:$C,3,0)</f>
        <v>800000</v>
      </c>
      <c r="Q412" s="108">
        <v>880000</v>
      </c>
      <c r="R412" s="109">
        <v>0.1</v>
      </c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spans="1:27" ht="14">
      <c r="A413" s="97">
        <f t="shared" si="64"/>
        <v>9</v>
      </c>
      <c r="B413" s="98" t="s">
        <v>1710</v>
      </c>
      <c r="C413" s="99" t="s">
        <v>58</v>
      </c>
      <c r="D413" s="100">
        <v>46189</v>
      </c>
      <c r="E413" s="99" t="e">
        <f>VLOOKUP($C413,xe!$A:$B,2,0)</f>
        <v>#N/A</v>
      </c>
      <c r="F413" s="101" t="str">
        <f>VLOOKUP($B413,ma!$A:$B,2,0)</f>
        <v>M. BÌNH PHÚ</v>
      </c>
      <c r="G413" s="102" t="s">
        <v>1976</v>
      </c>
      <c r="H413" s="103" t="s">
        <v>1912</v>
      </c>
      <c r="I413" s="104"/>
      <c r="J413" s="105" t="s">
        <v>465</v>
      </c>
      <c r="K413" s="106">
        <v>1.8</v>
      </c>
      <c r="L413" s="107">
        <f t="shared" si="63"/>
        <v>90000</v>
      </c>
      <c r="M413" s="104"/>
      <c r="N413" s="101"/>
      <c r="O413" s="101">
        <v>1</v>
      </c>
      <c r="P413" s="104">
        <f>VLOOKUP($B413,ma!$A:$C,3,0)</f>
        <v>800000</v>
      </c>
      <c r="Q413" s="108">
        <v>880000</v>
      </c>
      <c r="R413" s="109">
        <v>0.1</v>
      </c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spans="1:27" ht="14">
      <c r="A414" s="97">
        <f t="shared" si="64"/>
        <v>10</v>
      </c>
      <c r="B414" s="98" t="s">
        <v>1502</v>
      </c>
      <c r="C414" s="99" t="s">
        <v>56</v>
      </c>
      <c r="D414" s="100">
        <v>46189</v>
      </c>
      <c r="E414" s="99" t="e">
        <f>VLOOKUP($C414,xe!$A:$B,2,0)</f>
        <v>#N/A</v>
      </c>
      <c r="F414" s="101" t="str">
        <f>VLOOKUP($B414,ma!$A:$B,2,0)</f>
        <v>VỊ NGỌT HAPPY ( K BX )</v>
      </c>
      <c r="G414" s="102" t="s">
        <v>1977</v>
      </c>
      <c r="H414" s="103" t="s">
        <v>1912</v>
      </c>
      <c r="I414" s="104"/>
      <c r="J414" s="99"/>
      <c r="K414" s="106">
        <v>1.6</v>
      </c>
      <c r="L414" s="107"/>
      <c r="M414" s="104"/>
      <c r="N414" s="101"/>
      <c r="O414" s="101">
        <v>1</v>
      </c>
      <c r="P414" s="104">
        <f>VLOOKUP($B414,ma!$A:$C,3,0)</f>
        <v>800000</v>
      </c>
      <c r="Q414" s="108">
        <v>880000</v>
      </c>
      <c r="R414" s="109">
        <v>0.1</v>
      </c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spans="1:27" ht="14">
      <c r="A415" s="97">
        <f t="shared" si="64"/>
        <v>11</v>
      </c>
      <c r="B415" s="98" t="s">
        <v>1502</v>
      </c>
      <c r="C415" s="99" t="s">
        <v>1582</v>
      </c>
      <c r="D415" s="100">
        <v>46189</v>
      </c>
      <c r="E415" s="99" t="e">
        <f>VLOOKUP($C415,xe!$A:$B,2,0)</f>
        <v>#N/A</v>
      </c>
      <c r="F415" s="101" t="str">
        <f>VLOOKUP($B415,ma!$A:$B,2,0)</f>
        <v>VỊ NGỌT HAPPY ( K BX )</v>
      </c>
      <c r="G415" s="102" t="s">
        <v>1978</v>
      </c>
      <c r="H415" s="103" t="s">
        <v>1912</v>
      </c>
      <c r="I415" s="104"/>
      <c r="J415" s="99"/>
      <c r="K415" s="106">
        <v>1.6</v>
      </c>
      <c r="L415" s="107"/>
      <c r="M415" s="104"/>
      <c r="N415" s="101"/>
      <c r="O415" s="101">
        <v>1</v>
      </c>
      <c r="P415" s="104">
        <f>VLOOKUP($B415,ma!$A:$C,3,0)</f>
        <v>800000</v>
      </c>
      <c r="Q415" s="108">
        <v>880000</v>
      </c>
      <c r="R415" s="109">
        <v>0.1</v>
      </c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spans="1:27" ht="14">
      <c r="A416" s="97">
        <f t="shared" si="64"/>
        <v>12</v>
      </c>
      <c r="B416" s="98" t="s">
        <v>1492</v>
      </c>
      <c r="C416" s="99" t="s">
        <v>1509</v>
      </c>
      <c r="D416" s="100">
        <v>46189</v>
      </c>
      <c r="E416" s="99" t="str">
        <f>VLOOKUP($C416,xe!$A:$B,2,0)</f>
        <v>50H-70216</v>
      </c>
      <c r="F416" s="101" t="str">
        <f>VLOOKUP($B416,ma!$A:$B,2,0)</f>
        <v>NGUYỄN TRƯƠNG</v>
      </c>
      <c r="G416" s="102" t="s">
        <v>1979</v>
      </c>
      <c r="H416" s="103" t="s">
        <v>1906</v>
      </c>
      <c r="I416" s="104"/>
      <c r="J416" s="105" t="s">
        <v>1980</v>
      </c>
      <c r="K416" s="112">
        <v>2.2000000000000002</v>
      </c>
      <c r="L416" s="113">
        <v>200000</v>
      </c>
      <c r="M416" s="104"/>
      <c r="N416" s="101"/>
      <c r="O416" s="101">
        <v>1</v>
      </c>
      <c r="P416" s="104">
        <f>VLOOKUP($B416,ma!$A:$C,3,0)</f>
        <v>800000</v>
      </c>
      <c r="Q416" s="108">
        <v>880000</v>
      </c>
      <c r="R416" s="109">
        <v>0.1</v>
      </c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spans="1:27" ht="14">
      <c r="A417" s="97">
        <f t="shared" si="64"/>
        <v>13</v>
      </c>
      <c r="B417" s="98" t="s">
        <v>1799</v>
      </c>
      <c r="C417" s="99" t="s">
        <v>1570</v>
      </c>
      <c r="D417" s="100">
        <v>46189</v>
      </c>
      <c r="E417" s="99" t="str">
        <f>VLOOKUP($C417,xe!$A:$B,2,0)</f>
        <v>50H-66445</v>
      </c>
      <c r="F417" s="101" t="str">
        <f>VLOOKUP($B417,ma!$A:$B,2,0)</f>
        <v>DƯƠNG DƯƠNG CHÂU</v>
      </c>
      <c r="G417" s="102" t="s">
        <v>1981</v>
      </c>
      <c r="H417" s="103" t="s">
        <v>1906</v>
      </c>
      <c r="I417" s="104"/>
      <c r="J417" s="99"/>
      <c r="K417" s="106">
        <v>2.2000000000000002</v>
      </c>
      <c r="L417" s="107">
        <f>K417*50000</f>
        <v>110000.00000000001</v>
      </c>
      <c r="M417" s="104"/>
      <c r="N417" s="101"/>
      <c r="O417" s="101">
        <v>1</v>
      </c>
      <c r="P417" s="104">
        <f>VLOOKUP($B417,ma!$A:$C,3,0)</f>
        <v>800000</v>
      </c>
      <c r="Q417" s="108">
        <v>880000</v>
      </c>
      <c r="R417" s="109">
        <v>0.1</v>
      </c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spans="1:27" ht="14">
      <c r="A418" s="97">
        <f t="shared" si="64"/>
        <v>14</v>
      </c>
      <c r="B418" s="98" t="s">
        <v>1707</v>
      </c>
      <c r="C418" s="99" t="s">
        <v>14</v>
      </c>
      <c r="D418" s="100">
        <v>46189</v>
      </c>
      <c r="E418" s="99" t="str">
        <f>VLOOKUP($C418,xe!$A:$B,2,0)</f>
        <v>51H -88294</v>
      </c>
      <c r="F418" s="101" t="str">
        <f>VLOOKUP($B418,ma!$A:$B,2,0)</f>
        <v>XUÂN VÂN ( K BX )</v>
      </c>
      <c r="G418" s="102" t="s">
        <v>1982</v>
      </c>
      <c r="H418" s="103" t="s">
        <v>1906</v>
      </c>
      <c r="I418" s="104"/>
      <c r="J418" s="99"/>
      <c r="K418" s="106">
        <v>1.8</v>
      </c>
      <c r="L418" s="107">
        <v>50000</v>
      </c>
      <c r="M418" s="104"/>
      <c r="N418" s="101"/>
      <c r="O418" s="101">
        <v>1</v>
      </c>
      <c r="P418" s="104">
        <f>VLOOKUP($B418,ma!$A:$C,3,0)</f>
        <v>800000</v>
      </c>
      <c r="Q418" s="108">
        <v>880000</v>
      </c>
      <c r="R418" s="109">
        <v>0.1</v>
      </c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spans="1:27" ht="14">
      <c r="A419" s="97">
        <f t="shared" si="64"/>
        <v>15</v>
      </c>
      <c r="B419" s="98" t="s">
        <v>1755</v>
      </c>
      <c r="C419" s="99" t="s">
        <v>18</v>
      </c>
      <c r="D419" s="100">
        <v>46189</v>
      </c>
      <c r="E419" s="99" t="str">
        <f>VLOOKUP($C419,xe!$A:$B,2,0)</f>
        <v>50H 87442</v>
      </c>
      <c r="F419" s="101" t="str">
        <f>VLOOKUP($B419,ma!$A:$B,2,0)</f>
        <v>PHẠM NGUYÊN B.TÂN</v>
      </c>
      <c r="G419" s="102" t="s">
        <v>1983</v>
      </c>
      <c r="H419" s="103" t="s">
        <v>1906</v>
      </c>
      <c r="I419" s="104"/>
      <c r="J419" s="99"/>
      <c r="K419" s="106">
        <v>2</v>
      </c>
      <c r="L419" s="107">
        <v>50000</v>
      </c>
      <c r="M419" s="104"/>
      <c r="N419" s="101"/>
      <c r="O419" s="101">
        <v>1</v>
      </c>
      <c r="P419" s="104">
        <f>VLOOKUP($B419,ma!$A:$C,3,0)</f>
        <v>800000</v>
      </c>
      <c r="Q419" s="108">
        <v>880000</v>
      </c>
      <c r="R419" s="109">
        <v>0.1</v>
      </c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spans="1:27" ht="14">
      <c r="A420" s="97">
        <f t="shared" si="64"/>
        <v>16</v>
      </c>
      <c r="B420" s="98" t="s">
        <v>1984</v>
      </c>
      <c r="C420" s="99" t="s">
        <v>1985</v>
      </c>
      <c r="D420" s="100">
        <v>46189</v>
      </c>
      <c r="E420" s="99" t="str">
        <f>VLOOKUP($C420,xe!$A:$B,2,0)</f>
        <v>50H-69501</v>
      </c>
      <c r="F420" s="101" t="str">
        <f>VLOOKUP($B420,ma!$A:$B,2,0)</f>
        <v>TOÀN NGUYỄN FOOD</v>
      </c>
      <c r="G420" s="102" t="s">
        <v>1986</v>
      </c>
      <c r="H420" s="103" t="s">
        <v>1906</v>
      </c>
      <c r="I420" s="104"/>
      <c r="J420" s="133" t="s">
        <v>1890</v>
      </c>
      <c r="K420" s="106"/>
      <c r="L420" s="107">
        <f t="shared" ref="L420:L425" si="65">K420*50000</f>
        <v>0</v>
      </c>
      <c r="M420" s="104"/>
      <c r="N420" s="101"/>
      <c r="O420" s="101">
        <v>1</v>
      </c>
      <c r="P420" s="104">
        <f>VLOOKUP($B420,ma!$A:$C,3,0)</f>
        <v>800000</v>
      </c>
      <c r="Q420" s="108">
        <v>880000</v>
      </c>
      <c r="R420" s="109">
        <v>0.1</v>
      </c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spans="1:27" ht="14">
      <c r="A421" s="97">
        <f t="shared" si="64"/>
        <v>17</v>
      </c>
      <c r="B421" s="98" t="s">
        <v>787</v>
      </c>
      <c r="C421" s="99" t="s">
        <v>1717</v>
      </c>
      <c r="D421" s="100">
        <v>46189</v>
      </c>
      <c r="E421" s="99" t="str">
        <f>VLOOKUP($C421,xe!$A:$B,2,0)</f>
        <v>50E-164,61</v>
      </c>
      <c r="F421" s="101" t="str">
        <f>VLOOKUP($B421,ma!$A:$B,2,0)</f>
        <v>SPM TÂN TẠO</v>
      </c>
      <c r="G421" s="102" t="s">
        <v>1987</v>
      </c>
      <c r="H421" s="103" t="s">
        <v>1906</v>
      </c>
      <c r="I421" s="104"/>
      <c r="J421" s="99"/>
      <c r="K421" s="106">
        <v>1.6</v>
      </c>
      <c r="L421" s="107">
        <f t="shared" si="65"/>
        <v>80000</v>
      </c>
      <c r="M421" s="104"/>
      <c r="N421" s="101"/>
      <c r="O421" s="101">
        <v>1</v>
      </c>
      <c r="P421" s="104">
        <f>VLOOKUP($B421,ma!$A:$C,3,0)</f>
        <v>800000</v>
      </c>
      <c r="Q421" s="108">
        <v>880000</v>
      </c>
      <c r="R421" s="109">
        <v>0.1</v>
      </c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spans="1:27" ht="14">
      <c r="A422" s="97">
        <f t="shared" si="64"/>
        <v>18</v>
      </c>
      <c r="B422" s="98" t="s">
        <v>1887</v>
      </c>
      <c r="C422" s="99" t="s">
        <v>1695</v>
      </c>
      <c r="D422" s="100">
        <v>46189</v>
      </c>
      <c r="E422" s="99" t="str">
        <f>VLOOKUP($C422,xe!$A:$B,2,0)</f>
        <v>50H-64316</v>
      </c>
      <c r="F422" s="101" t="str">
        <f>VLOOKUP($B422,ma!$A:$B,2,0)</f>
        <v>N.HƯNG Q.6</v>
      </c>
      <c r="G422" s="102" t="s">
        <v>1988</v>
      </c>
      <c r="H422" s="103" t="s">
        <v>1906</v>
      </c>
      <c r="I422" s="104"/>
      <c r="J422" s="105" t="s">
        <v>119</v>
      </c>
      <c r="K422" s="106">
        <v>2</v>
      </c>
      <c r="L422" s="107">
        <f t="shared" si="65"/>
        <v>100000</v>
      </c>
      <c r="M422" s="104"/>
      <c r="N422" s="101"/>
      <c r="O422" s="101">
        <v>1</v>
      </c>
      <c r="P422" s="104">
        <f>VLOOKUP($B422,ma!$A:$C,3,0)</f>
        <v>800000</v>
      </c>
      <c r="Q422" s="108">
        <v>880000</v>
      </c>
      <c r="R422" s="109">
        <v>0.1</v>
      </c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spans="1:27" ht="14">
      <c r="A423" s="97">
        <f t="shared" si="64"/>
        <v>19</v>
      </c>
      <c r="B423" s="98" t="s">
        <v>1989</v>
      </c>
      <c r="C423" s="99" t="s">
        <v>1695</v>
      </c>
      <c r="D423" s="100">
        <v>46189</v>
      </c>
      <c r="E423" s="99" t="str">
        <f>VLOOKUP($C423,xe!$A:$B,2,0)</f>
        <v>50H-64316</v>
      </c>
      <c r="F423" s="101" t="str">
        <f>VLOOKUP($B423,ma!$A:$B,2,0)</f>
        <v>NAM SÀI GÒN</v>
      </c>
      <c r="G423" s="102" t="s">
        <v>1990</v>
      </c>
      <c r="H423" s="103" t="s">
        <v>1906</v>
      </c>
      <c r="I423" s="104"/>
      <c r="J423" s="99"/>
      <c r="K423" s="106"/>
      <c r="L423" s="107">
        <f t="shared" si="65"/>
        <v>0</v>
      </c>
      <c r="M423" s="104"/>
      <c r="N423" s="101"/>
      <c r="O423" s="101">
        <v>1</v>
      </c>
      <c r="P423" s="104">
        <f>VLOOKUP($B423,ma!$A:$C,3,0)</f>
        <v>800000</v>
      </c>
      <c r="Q423" s="108">
        <v>880000</v>
      </c>
      <c r="R423" s="109">
        <v>0.1</v>
      </c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spans="1:27" ht="14">
      <c r="A424" s="97">
        <f t="shared" si="64"/>
        <v>20</v>
      </c>
      <c r="B424" s="98" t="s">
        <v>1989</v>
      </c>
      <c r="C424" s="99" t="s">
        <v>18</v>
      </c>
      <c r="D424" s="100">
        <v>46189</v>
      </c>
      <c r="E424" s="99" t="str">
        <f>VLOOKUP($C424,xe!$A:$B,2,0)</f>
        <v>50H 87442</v>
      </c>
      <c r="F424" s="101" t="str">
        <f>VLOOKUP($B424,ma!$A:$B,2,0)</f>
        <v>NAM SÀI GÒN</v>
      </c>
      <c r="G424" s="102" t="s">
        <v>1991</v>
      </c>
      <c r="H424" s="103" t="s">
        <v>1906</v>
      </c>
      <c r="I424" s="104"/>
      <c r="J424" s="99"/>
      <c r="K424" s="106">
        <v>1.6</v>
      </c>
      <c r="L424" s="107">
        <f t="shared" si="65"/>
        <v>80000</v>
      </c>
      <c r="M424" s="104"/>
      <c r="N424" s="101"/>
      <c r="O424" s="101">
        <v>1</v>
      </c>
      <c r="P424" s="104">
        <f>VLOOKUP($B424,ma!$A:$C,3,0)</f>
        <v>800000</v>
      </c>
      <c r="Q424" s="108">
        <v>880000</v>
      </c>
      <c r="R424" s="109">
        <v>0.1</v>
      </c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spans="1:27" ht="14">
      <c r="A425" s="97">
        <f t="shared" si="64"/>
        <v>21</v>
      </c>
      <c r="B425" s="98" t="s">
        <v>1127</v>
      </c>
      <c r="C425" s="99" t="s">
        <v>24</v>
      </c>
      <c r="D425" s="100">
        <v>46189</v>
      </c>
      <c r="E425" s="99" t="str">
        <f>VLOOKUP($C425,xe!$A:$B,2,0)</f>
        <v>50H-55161</v>
      </c>
      <c r="F425" s="101" t="str">
        <f>VLOOKUP($B425,ma!$A:$B,2,0)</f>
        <v>BHX AVAKID- LONG HẬU</v>
      </c>
      <c r="G425" s="102" t="s">
        <v>1992</v>
      </c>
      <c r="H425" s="103" t="s">
        <v>1906</v>
      </c>
      <c r="I425" s="104"/>
      <c r="J425" s="99"/>
      <c r="K425" s="106">
        <v>1</v>
      </c>
      <c r="L425" s="107">
        <f t="shared" si="65"/>
        <v>50000</v>
      </c>
      <c r="M425" s="104"/>
      <c r="N425" s="101"/>
      <c r="O425" s="101">
        <v>1</v>
      </c>
      <c r="P425" s="104">
        <f>VLOOKUP($B425,ma!$A:$C,3,0)</f>
        <v>400000</v>
      </c>
      <c r="Q425" s="108">
        <v>440000</v>
      </c>
      <c r="R425" s="109">
        <v>0.1</v>
      </c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spans="1:27" ht="14">
      <c r="A426" s="97">
        <f t="shared" si="64"/>
        <v>22</v>
      </c>
      <c r="B426" s="98" t="s">
        <v>1497</v>
      </c>
      <c r="C426" s="99" t="s">
        <v>1554</v>
      </c>
      <c r="D426" s="100">
        <v>46189</v>
      </c>
      <c r="E426" s="99" t="str">
        <f>VLOOKUP($C426,xe!$A:$B,2,0)</f>
        <v>50H-63174</v>
      </c>
      <c r="F426" s="101" t="str">
        <f>VLOOKUP($B426,ma!$A:$B,2,0)</f>
        <v>VĂN HẬU Q8 ( K BX )</v>
      </c>
      <c r="G426" s="102" t="s">
        <v>1499</v>
      </c>
      <c r="H426" s="103" t="s">
        <v>1499</v>
      </c>
      <c r="I426" s="104"/>
      <c r="J426" s="99"/>
      <c r="K426" s="106">
        <v>2.2000000000000002</v>
      </c>
      <c r="L426" s="107">
        <v>50000</v>
      </c>
      <c r="M426" s="104"/>
      <c r="N426" s="101"/>
      <c r="O426" s="101">
        <v>1</v>
      </c>
      <c r="P426" s="104">
        <f>VLOOKUP($B426,ma!$A:$C,3,0)</f>
        <v>800000</v>
      </c>
      <c r="Q426" s="108">
        <v>880000</v>
      </c>
      <c r="R426" s="109">
        <v>0.1</v>
      </c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spans="1:27" ht="14">
      <c r="A427" s="97">
        <f t="shared" si="64"/>
        <v>23</v>
      </c>
      <c r="B427" s="98" t="s">
        <v>1637</v>
      </c>
      <c r="C427" s="99" t="s">
        <v>1846</v>
      </c>
      <c r="D427" s="100">
        <v>46189</v>
      </c>
      <c r="E427" s="99" t="str">
        <f>VLOOKUP($C427,xe!$A:$B,2,0)</f>
        <v>50H-50999</v>
      </c>
      <c r="F427" s="101" t="str">
        <f>VLOOKUP($B427,ma!$A:$B,2,0)</f>
        <v>BHX CẦN ĐƯỚC</v>
      </c>
      <c r="G427" s="102" t="s">
        <v>1993</v>
      </c>
      <c r="H427" s="103" t="s">
        <v>1912</v>
      </c>
      <c r="I427" s="104"/>
      <c r="J427" s="105" t="s">
        <v>1994</v>
      </c>
      <c r="K427" s="112">
        <v>1</v>
      </c>
      <c r="L427" s="113">
        <f t="shared" ref="L427:L443" si="66">K427*50000</f>
        <v>50000</v>
      </c>
      <c r="M427" s="104"/>
      <c r="N427" s="101"/>
      <c r="O427" s="101">
        <v>1</v>
      </c>
      <c r="P427" s="104">
        <f>VLOOKUP($B427,ma!$A:$C,3,0)</f>
        <v>900000</v>
      </c>
      <c r="Q427" s="108">
        <v>300000</v>
      </c>
      <c r="R427" s="109">
        <v>0.1</v>
      </c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spans="1:27" ht="14">
      <c r="A428" s="97">
        <f t="shared" si="64"/>
        <v>24</v>
      </c>
      <c r="B428" s="98" t="s">
        <v>1637</v>
      </c>
      <c r="C428" s="99" t="s">
        <v>1570</v>
      </c>
      <c r="D428" s="100">
        <v>46189</v>
      </c>
      <c r="E428" s="99" t="str">
        <f>VLOOKUP($C428,xe!$A:$B,2,0)</f>
        <v>50H-66445</v>
      </c>
      <c r="F428" s="101" t="str">
        <f>VLOOKUP($B428,ma!$A:$B,2,0)</f>
        <v>BHX CẦN ĐƯỚC</v>
      </c>
      <c r="G428" s="102" t="s">
        <v>1995</v>
      </c>
      <c r="H428" s="103" t="s">
        <v>1912</v>
      </c>
      <c r="I428" s="104"/>
      <c r="J428" s="105" t="s">
        <v>1540</v>
      </c>
      <c r="K428" s="106">
        <v>2</v>
      </c>
      <c r="L428" s="107">
        <f t="shared" si="66"/>
        <v>100000</v>
      </c>
      <c r="M428" s="104"/>
      <c r="N428" s="101"/>
      <c r="O428" s="101">
        <v>1</v>
      </c>
      <c r="P428" s="104">
        <f>VLOOKUP($B428,ma!$A:$C,3,0)</f>
        <v>900000</v>
      </c>
      <c r="Q428" s="108">
        <v>1080000</v>
      </c>
      <c r="R428" s="109">
        <v>0.1</v>
      </c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spans="1:27" ht="14">
      <c r="A429" s="97">
        <f t="shared" si="64"/>
        <v>25</v>
      </c>
      <c r="B429" s="98" t="s">
        <v>1637</v>
      </c>
      <c r="C429" s="99" t="s">
        <v>1717</v>
      </c>
      <c r="D429" s="100">
        <v>46189</v>
      </c>
      <c r="E429" s="99" t="str">
        <f>VLOOKUP($C429,xe!$A:$B,2,0)</f>
        <v>50E-164,61</v>
      </c>
      <c r="F429" s="101" t="str">
        <f>VLOOKUP($B429,ma!$A:$B,2,0)</f>
        <v>BHX CẦN ĐƯỚC</v>
      </c>
      <c r="G429" s="102" t="s">
        <v>1996</v>
      </c>
      <c r="H429" s="103" t="s">
        <v>1912</v>
      </c>
      <c r="I429" s="104"/>
      <c r="J429" s="105" t="s">
        <v>1997</v>
      </c>
      <c r="K429" s="106">
        <v>2</v>
      </c>
      <c r="L429" s="107">
        <f t="shared" si="66"/>
        <v>100000</v>
      </c>
      <c r="M429" s="104"/>
      <c r="N429" s="101"/>
      <c r="O429" s="101">
        <v>1</v>
      </c>
      <c r="P429" s="104">
        <f>VLOOKUP($B429,ma!$A:$C,3,0)</f>
        <v>900000</v>
      </c>
      <c r="Q429" s="108">
        <v>1080000</v>
      </c>
      <c r="R429" s="109">
        <v>0.1</v>
      </c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spans="1:27" ht="14">
      <c r="A430" s="97">
        <f t="shared" si="64"/>
        <v>26</v>
      </c>
      <c r="B430" s="98" t="s">
        <v>1637</v>
      </c>
      <c r="C430" s="99" t="s">
        <v>14</v>
      </c>
      <c r="D430" s="100">
        <v>46189</v>
      </c>
      <c r="E430" s="99" t="str">
        <f>VLOOKUP($C430,xe!$A:$B,2,0)</f>
        <v>51H -88294</v>
      </c>
      <c r="F430" s="101" t="str">
        <f>VLOOKUP($B430,ma!$A:$B,2,0)</f>
        <v>BHX CẦN ĐƯỚC</v>
      </c>
      <c r="G430" s="102" t="s">
        <v>1998</v>
      </c>
      <c r="H430" s="103" t="s">
        <v>1912</v>
      </c>
      <c r="I430" s="104"/>
      <c r="J430" s="105" t="s">
        <v>1997</v>
      </c>
      <c r="K430" s="106">
        <v>2</v>
      </c>
      <c r="L430" s="107">
        <f t="shared" si="66"/>
        <v>100000</v>
      </c>
      <c r="M430" s="104"/>
      <c r="N430" s="101"/>
      <c r="O430" s="101">
        <v>1</v>
      </c>
      <c r="P430" s="104">
        <f>VLOOKUP($B430,ma!$A:$C,3,0)</f>
        <v>900000</v>
      </c>
      <c r="Q430" s="108">
        <v>1080000</v>
      </c>
      <c r="R430" s="109">
        <v>0.1</v>
      </c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spans="1:27" ht="14">
      <c r="A431" s="97">
        <f t="shared" si="64"/>
        <v>27</v>
      </c>
      <c r="B431" s="98" t="s">
        <v>1654</v>
      </c>
      <c r="C431" s="99" t="s">
        <v>1549</v>
      </c>
      <c r="D431" s="100">
        <v>46189</v>
      </c>
      <c r="E431" s="99" t="str">
        <f>VLOOKUP($C431,xe!$A:$B,2,0)</f>
        <v>50H-55443</v>
      </c>
      <c r="F431" s="101" t="str">
        <f>VLOOKUP($B431,ma!$A:$B,2,0)</f>
        <v>BHX ( VL)</v>
      </c>
      <c r="G431" s="102" t="s">
        <v>1999</v>
      </c>
      <c r="H431" s="103" t="s">
        <v>1912</v>
      </c>
      <c r="I431" s="104"/>
      <c r="J431" s="105" t="s">
        <v>465</v>
      </c>
      <c r="K431" s="106">
        <v>2</v>
      </c>
      <c r="L431" s="107">
        <f t="shared" si="66"/>
        <v>100000</v>
      </c>
      <c r="M431" s="104"/>
      <c r="N431" s="101"/>
      <c r="O431" s="101">
        <v>1</v>
      </c>
      <c r="P431" s="104">
        <f>VLOOKUP($B431,ma!$A:$C,3,0)</f>
        <v>800000</v>
      </c>
      <c r="Q431" s="108">
        <v>880000</v>
      </c>
      <c r="R431" s="109">
        <v>0.1</v>
      </c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spans="1:27" ht="14">
      <c r="A432" s="97">
        <f t="shared" si="64"/>
        <v>28</v>
      </c>
      <c r="B432" s="98" t="s">
        <v>1734</v>
      </c>
      <c r="C432" s="99" t="s">
        <v>1985</v>
      </c>
      <c r="D432" s="100">
        <v>46189</v>
      </c>
      <c r="E432" s="99" t="str">
        <f>VLOOKUP($C432,xe!$A:$B,2,0)</f>
        <v>50H-69501</v>
      </c>
      <c r="F432" s="101" t="str">
        <f>VLOOKUP($B432,ma!$A:$B,2,0)</f>
        <v>BHX THUẬN AN</v>
      </c>
      <c r="G432" s="102"/>
      <c r="H432" s="103"/>
      <c r="I432" s="104"/>
      <c r="J432" s="105" t="s">
        <v>465</v>
      </c>
      <c r="K432" s="106">
        <v>2</v>
      </c>
      <c r="L432" s="107">
        <f t="shared" si="66"/>
        <v>100000</v>
      </c>
      <c r="M432" s="104"/>
      <c r="N432" s="101"/>
      <c r="O432" s="101">
        <v>1</v>
      </c>
      <c r="P432" s="104">
        <f>VLOOKUP($B432,ma!$A:$C,3,0)</f>
        <v>900000</v>
      </c>
      <c r="Q432" s="108">
        <v>990000</v>
      </c>
      <c r="R432" s="109">
        <v>0.1</v>
      </c>
      <c r="S432" s="111"/>
      <c r="T432" s="111"/>
      <c r="U432" s="111"/>
      <c r="V432" s="111"/>
      <c r="W432" s="111"/>
      <c r="X432" s="111"/>
      <c r="Y432" s="111"/>
      <c r="Z432" s="111"/>
      <c r="AA432" s="111"/>
    </row>
    <row r="433" spans="1:27" ht="14">
      <c r="A433" s="97">
        <f t="shared" si="64"/>
        <v>29</v>
      </c>
      <c r="B433" s="98" t="s">
        <v>1578</v>
      </c>
      <c r="C433" s="99" t="s">
        <v>1554</v>
      </c>
      <c r="D433" s="100">
        <v>46189</v>
      </c>
      <c r="E433" s="99" t="str">
        <f>VLOOKUP($C433,xe!$A:$B,2,0)</f>
        <v>50H-63174</v>
      </c>
      <c r="F433" s="101" t="str">
        <f>VLOOKUP($B433,ma!$A:$B,2,0)</f>
        <v>CALOFIC - UNI ( xe nhỏ )</v>
      </c>
      <c r="G433" s="102" t="s">
        <v>2000</v>
      </c>
      <c r="H433" s="103" t="s">
        <v>1906</v>
      </c>
      <c r="I433" s="104"/>
      <c r="J433" s="99"/>
      <c r="K433" s="106">
        <v>1.4</v>
      </c>
      <c r="L433" s="107">
        <f t="shared" si="66"/>
        <v>70000</v>
      </c>
      <c r="M433" s="104"/>
      <c r="N433" s="101"/>
      <c r="O433" s="101">
        <v>1</v>
      </c>
      <c r="P433" s="104">
        <f>VLOOKUP($B433,ma!$A:$C,3,0)</f>
        <v>300000</v>
      </c>
      <c r="Q433" s="108">
        <v>330000</v>
      </c>
      <c r="R433" s="109">
        <v>0.1</v>
      </c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spans="1:27" ht="14">
      <c r="A434" s="116">
        <v>1</v>
      </c>
      <c r="B434" s="117" t="s">
        <v>1702</v>
      </c>
      <c r="C434" s="118" t="s">
        <v>63</v>
      </c>
      <c r="D434" s="119">
        <v>46190</v>
      </c>
      <c r="E434" s="118" t="e">
        <f>VLOOKUP($C434,xe!$A:$B,2,0)</f>
        <v>#N/A</v>
      </c>
      <c r="F434" s="120" t="str">
        <f>VLOOKUP($B434,ma!$A:$B,2,0)</f>
        <v>LOTTEMART-Q7</v>
      </c>
      <c r="G434" s="121" t="s">
        <v>2001</v>
      </c>
      <c r="H434" s="122" t="s">
        <v>1949</v>
      </c>
      <c r="I434" s="123"/>
      <c r="J434" s="105" t="s">
        <v>119</v>
      </c>
      <c r="K434" s="124">
        <v>2</v>
      </c>
      <c r="L434" s="125">
        <f t="shared" si="66"/>
        <v>100000</v>
      </c>
      <c r="M434" s="123"/>
      <c r="N434" s="120"/>
      <c r="O434" s="120">
        <v>1</v>
      </c>
      <c r="P434" s="123">
        <f>VLOOKUP($B434,ma!$A:$C,3,0)</f>
        <v>800000</v>
      </c>
      <c r="Q434" s="108">
        <v>880000</v>
      </c>
      <c r="R434" s="109">
        <v>0.1</v>
      </c>
      <c r="S434" s="111"/>
      <c r="T434" s="111"/>
      <c r="U434" s="111"/>
      <c r="V434" s="111"/>
      <c r="W434" s="111"/>
      <c r="X434" s="111"/>
      <c r="Y434" s="111"/>
      <c r="Z434" s="111"/>
      <c r="AA434" s="111"/>
    </row>
    <row r="435" spans="1:27" ht="14">
      <c r="A435" s="97">
        <f t="shared" ref="A435:A469" si="67">A434+1</f>
        <v>2</v>
      </c>
      <c r="B435" s="98" t="s">
        <v>1702</v>
      </c>
      <c r="C435" s="99" t="s">
        <v>61</v>
      </c>
      <c r="D435" s="100">
        <v>46190</v>
      </c>
      <c r="E435" s="99" t="e">
        <f>VLOOKUP($C435,xe!$A:$B,2,0)</f>
        <v>#N/A</v>
      </c>
      <c r="F435" s="101" t="str">
        <f>VLOOKUP($B435,ma!$A:$B,2,0)</f>
        <v>LOTTEMART-Q7</v>
      </c>
      <c r="G435" s="102" t="s">
        <v>2002</v>
      </c>
      <c r="H435" s="103" t="s">
        <v>1949</v>
      </c>
      <c r="I435" s="104"/>
      <c r="J435" s="105" t="s">
        <v>119</v>
      </c>
      <c r="K435" s="106">
        <v>2</v>
      </c>
      <c r="L435" s="107">
        <f t="shared" si="66"/>
        <v>100000</v>
      </c>
      <c r="M435" s="104"/>
      <c r="N435" s="101"/>
      <c r="O435" s="101">
        <v>1</v>
      </c>
      <c r="P435" s="104">
        <f>VLOOKUP($B435,ma!$A:$C,3,0)</f>
        <v>800000</v>
      </c>
      <c r="Q435" s="108">
        <v>880000</v>
      </c>
      <c r="R435" s="109">
        <v>0.1</v>
      </c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spans="1:27" ht="14">
      <c r="A436" s="97">
        <f t="shared" si="67"/>
        <v>3</v>
      </c>
      <c r="B436" s="98" t="s">
        <v>1702</v>
      </c>
      <c r="C436" s="99" t="s">
        <v>57</v>
      </c>
      <c r="D436" s="100">
        <v>46190</v>
      </c>
      <c r="E436" s="99" t="e">
        <f>VLOOKUP($C436,xe!$A:$B,2,0)</f>
        <v>#N/A</v>
      </c>
      <c r="F436" s="101" t="str">
        <f>VLOOKUP($B436,ma!$A:$B,2,0)</f>
        <v>LOTTEMART-Q7</v>
      </c>
      <c r="G436" s="102" t="s">
        <v>2003</v>
      </c>
      <c r="H436" s="103" t="s">
        <v>1949</v>
      </c>
      <c r="I436" s="104"/>
      <c r="J436" s="105" t="s">
        <v>119</v>
      </c>
      <c r="K436" s="106">
        <v>2</v>
      </c>
      <c r="L436" s="107">
        <f t="shared" si="66"/>
        <v>100000</v>
      </c>
      <c r="M436" s="104"/>
      <c r="N436" s="101"/>
      <c r="O436" s="101">
        <v>1</v>
      </c>
      <c r="P436" s="104">
        <f>VLOOKUP($B436,ma!$A:$C,3,0)</f>
        <v>800000</v>
      </c>
      <c r="Q436" s="108">
        <v>880000</v>
      </c>
      <c r="R436" s="109">
        <v>0.1</v>
      </c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spans="1:27" ht="14">
      <c r="A437" s="97">
        <f t="shared" si="67"/>
        <v>4</v>
      </c>
      <c r="B437" s="98" t="s">
        <v>1702</v>
      </c>
      <c r="C437" s="99" t="s">
        <v>58</v>
      </c>
      <c r="D437" s="100">
        <v>46190</v>
      </c>
      <c r="E437" s="99" t="e">
        <f>VLOOKUP($C437,xe!$A:$B,2,0)</f>
        <v>#N/A</v>
      </c>
      <c r="F437" s="101" t="str">
        <f>VLOOKUP($B437,ma!$A:$B,2,0)</f>
        <v>LOTTEMART-Q7</v>
      </c>
      <c r="G437" s="102" t="s">
        <v>2004</v>
      </c>
      <c r="H437" s="103" t="s">
        <v>1949</v>
      </c>
      <c r="I437" s="104"/>
      <c r="J437" s="105" t="s">
        <v>119</v>
      </c>
      <c r="K437" s="106">
        <v>2</v>
      </c>
      <c r="L437" s="107">
        <f t="shared" si="66"/>
        <v>100000</v>
      </c>
      <c r="M437" s="104"/>
      <c r="N437" s="101"/>
      <c r="O437" s="101">
        <v>1</v>
      </c>
      <c r="P437" s="104">
        <f>VLOOKUP($B437,ma!$A:$C,3,0)</f>
        <v>800000</v>
      </c>
      <c r="Q437" s="108">
        <v>880000</v>
      </c>
      <c r="R437" s="109">
        <v>0.1</v>
      </c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spans="1:27" ht="14">
      <c r="A438" s="97">
        <f t="shared" si="67"/>
        <v>5</v>
      </c>
      <c r="B438" s="98" t="s">
        <v>1612</v>
      </c>
      <c r="C438" s="99" t="s">
        <v>1484</v>
      </c>
      <c r="D438" s="100">
        <v>46190</v>
      </c>
      <c r="E438" s="99" t="e">
        <f>VLOOKUP($C438,xe!$A:$B,2,0)</f>
        <v>#N/A</v>
      </c>
      <c r="F438" s="101" t="str">
        <f>VLOOKUP($B438,ma!$A:$B,2,0)</f>
        <v>E MART SALA</v>
      </c>
      <c r="G438" s="102" t="s">
        <v>2005</v>
      </c>
      <c r="H438" s="103" t="s">
        <v>1912</v>
      </c>
      <c r="I438" s="104"/>
      <c r="J438" s="105" t="s">
        <v>119</v>
      </c>
      <c r="K438" s="106">
        <v>2</v>
      </c>
      <c r="L438" s="107">
        <f t="shared" si="66"/>
        <v>100000</v>
      </c>
      <c r="M438" s="104"/>
      <c r="N438" s="101"/>
      <c r="O438" s="101">
        <v>1</v>
      </c>
      <c r="P438" s="104">
        <f>VLOOKUP($B438,ma!$A:$C,3,0)</f>
        <v>800000</v>
      </c>
      <c r="Q438" s="108">
        <v>880000</v>
      </c>
      <c r="R438" s="109">
        <v>0.1</v>
      </c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spans="1:27" ht="14">
      <c r="A439" s="97">
        <f t="shared" si="67"/>
        <v>6</v>
      </c>
      <c r="B439" s="98" t="s">
        <v>1666</v>
      </c>
      <c r="C439" s="99" t="s">
        <v>62</v>
      </c>
      <c r="D439" s="100">
        <v>46190</v>
      </c>
      <c r="E439" s="114" t="e">
        <f>VLOOKUP($C439,xe!$A:$B,2,0)</f>
        <v>#N/A</v>
      </c>
      <c r="F439" s="101" t="str">
        <f>VLOOKUP($B439,ma!$A:$B,2,0)</f>
        <v>EMART P.H.ÍCH</v>
      </c>
      <c r="G439" s="102" t="s">
        <v>2006</v>
      </c>
      <c r="H439" s="103" t="s">
        <v>1906</v>
      </c>
      <c r="I439" s="104"/>
      <c r="J439" s="105" t="s">
        <v>119</v>
      </c>
      <c r="K439" s="106">
        <v>1.8</v>
      </c>
      <c r="L439" s="107">
        <f t="shared" si="66"/>
        <v>90000</v>
      </c>
      <c r="M439" s="104"/>
      <c r="N439" s="101"/>
      <c r="O439" s="101">
        <v>1</v>
      </c>
      <c r="P439" s="104">
        <f>VLOOKUP($B439,ma!$A:$C,3,0)</f>
        <v>800000</v>
      </c>
      <c r="Q439" s="108">
        <v>880000</v>
      </c>
      <c r="R439" s="109">
        <v>0.1</v>
      </c>
      <c r="S439" s="111"/>
      <c r="T439" s="111"/>
      <c r="U439" s="111"/>
      <c r="V439" s="111"/>
      <c r="W439" s="111"/>
      <c r="X439" s="111"/>
      <c r="Y439" s="111"/>
      <c r="Z439" s="111"/>
      <c r="AA439" s="111"/>
    </row>
    <row r="440" spans="1:27" ht="14">
      <c r="A440" s="97">
        <f t="shared" si="67"/>
        <v>7</v>
      </c>
      <c r="B440" s="98" t="s">
        <v>1666</v>
      </c>
      <c r="C440" s="99" t="s">
        <v>1509</v>
      </c>
      <c r="D440" s="100">
        <v>46190</v>
      </c>
      <c r="E440" s="99" t="str">
        <f>VLOOKUP($C440,xe!$A:$B,2,0)</f>
        <v>50H-70216</v>
      </c>
      <c r="F440" s="101" t="str">
        <f>VLOOKUP($B440,ma!$A:$B,2,0)</f>
        <v>EMART P.H.ÍCH</v>
      </c>
      <c r="G440" s="102" t="s">
        <v>2007</v>
      </c>
      <c r="H440" s="103" t="s">
        <v>1906</v>
      </c>
      <c r="I440" s="104"/>
      <c r="J440" s="105" t="s">
        <v>119</v>
      </c>
      <c r="K440" s="106">
        <v>1.8</v>
      </c>
      <c r="L440" s="107">
        <f t="shared" si="66"/>
        <v>90000</v>
      </c>
      <c r="M440" s="104"/>
      <c r="N440" s="101"/>
      <c r="O440" s="101">
        <v>1</v>
      </c>
      <c r="P440" s="104">
        <f>VLOOKUP($B440,ma!$A:$C,3,0)</f>
        <v>800000</v>
      </c>
      <c r="Q440" s="108">
        <v>880000</v>
      </c>
      <c r="R440" s="109">
        <v>0.1</v>
      </c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spans="1:27" ht="14">
      <c r="A441" s="97">
        <f t="shared" si="67"/>
        <v>8</v>
      </c>
      <c r="B441" s="98" t="s">
        <v>1710</v>
      </c>
      <c r="C441" s="99" t="s">
        <v>1554</v>
      </c>
      <c r="D441" s="100">
        <v>46190</v>
      </c>
      <c r="E441" s="99" t="str">
        <f>VLOOKUP($C441,xe!$A:$B,2,0)</f>
        <v>50H-63174</v>
      </c>
      <c r="F441" s="101" t="str">
        <f>VLOOKUP($B441,ma!$A:$B,2,0)</f>
        <v>M. BÌNH PHÚ</v>
      </c>
      <c r="G441" s="102" t="s">
        <v>1640</v>
      </c>
      <c r="H441" s="103" t="s">
        <v>1912</v>
      </c>
      <c r="I441" s="104"/>
      <c r="J441" s="126" t="s">
        <v>1520</v>
      </c>
      <c r="K441" s="106">
        <v>1.4</v>
      </c>
      <c r="L441" s="107">
        <f t="shared" si="66"/>
        <v>70000</v>
      </c>
      <c r="M441" s="104"/>
      <c r="N441" s="101"/>
      <c r="O441" s="101">
        <v>1</v>
      </c>
      <c r="P441" s="104">
        <f>VLOOKUP($B441,ma!$A:$C,3,0)</f>
        <v>800000</v>
      </c>
      <c r="Q441" s="108">
        <v>880000</v>
      </c>
      <c r="R441" s="109">
        <v>0.1</v>
      </c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spans="1:27" ht="14">
      <c r="A442" s="97">
        <f t="shared" si="67"/>
        <v>9</v>
      </c>
      <c r="B442" s="98" t="s">
        <v>1710</v>
      </c>
      <c r="C442" s="99" t="s">
        <v>1846</v>
      </c>
      <c r="D442" s="100">
        <v>46190</v>
      </c>
      <c r="E442" s="99" t="str">
        <f>VLOOKUP($C442,xe!$A:$B,2,0)</f>
        <v>50H-50999</v>
      </c>
      <c r="F442" s="101" t="str">
        <f>VLOOKUP($B442,ma!$A:$B,2,0)</f>
        <v>M. BÌNH PHÚ</v>
      </c>
      <c r="G442" s="102" t="s">
        <v>1640</v>
      </c>
      <c r="H442" s="103" t="s">
        <v>1912</v>
      </c>
      <c r="I442" s="104"/>
      <c r="J442" s="126" t="s">
        <v>1520</v>
      </c>
      <c r="K442" s="106">
        <v>1.4</v>
      </c>
      <c r="L442" s="107">
        <f t="shared" si="66"/>
        <v>70000</v>
      </c>
      <c r="M442" s="104"/>
      <c r="N442" s="101"/>
      <c r="O442" s="101">
        <v>1</v>
      </c>
      <c r="P442" s="104">
        <f>VLOOKUP($B442,ma!$A:$C,3,0)</f>
        <v>800000</v>
      </c>
      <c r="Q442" s="108">
        <v>880000</v>
      </c>
      <c r="R442" s="109">
        <v>0.1</v>
      </c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spans="1:27" ht="14">
      <c r="A443" s="97">
        <f t="shared" si="67"/>
        <v>10</v>
      </c>
      <c r="B443" s="98" t="s">
        <v>1487</v>
      </c>
      <c r="C443" s="99" t="s">
        <v>56</v>
      </c>
      <c r="D443" s="100">
        <v>46190</v>
      </c>
      <c r="E443" s="99" t="e">
        <f>VLOOKUP($C443,xe!$A:$B,2,0)</f>
        <v>#N/A</v>
      </c>
      <c r="F443" s="101" t="str">
        <f>VLOOKUP($B443,ma!$A:$B,2,0)</f>
        <v>SATRA SÀI GÒN</v>
      </c>
      <c r="G443" s="102" t="s">
        <v>2008</v>
      </c>
      <c r="H443" s="103" t="s">
        <v>1912</v>
      </c>
      <c r="I443" s="104"/>
      <c r="J443" s="105" t="s">
        <v>2009</v>
      </c>
      <c r="K443" s="106">
        <v>1</v>
      </c>
      <c r="L443" s="107">
        <f t="shared" si="66"/>
        <v>50000</v>
      </c>
      <c r="M443" s="104"/>
      <c r="N443" s="101"/>
      <c r="O443" s="101">
        <v>1</v>
      </c>
      <c r="P443" s="104">
        <f>VLOOKUP($B443,ma!$A:$C,3,0)</f>
        <v>800000</v>
      </c>
      <c r="Q443" s="108">
        <v>880000</v>
      </c>
      <c r="R443" s="109">
        <v>0.1</v>
      </c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spans="1:27" ht="14">
      <c r="A444" s="97">
        <f t="shared" si="67"/>
        <v>11</v>
      </c>
      <c r="B444" s="98" t="s">
        <v>1471</v>
      </c>
      <c r="C444" s="99" t="s">
        <v>24</v>
      </c>
      <c r="D444" s="100">
        <v>46190</v>
      </c>
      <c r="E444" s="99" t="str">
        <f>VLOOKUP($C444,xe!$A:$B,2,0)</f>
        <v>50H-55161</v>
      </c>
      <c r="F444" s="101" t="str">
        <f>VLOOKUP($B444,ma!$A:$B,2,0)</f>
        <v>SONG HỒNG TÂN ( KBX )</v>
      </c>
      <c r="G444" s="102" t="s">
        <v>2010</v>
      </c>
      <c r="H444" s="103" t="s">
        <v>1912</v>
      </c>
      <c r="I444" s="104"/>
      <c r="J444" s="99"/>
      <c r="K444" s="106">
        <v>1.8</v>
      </c>
      <c r="L444" s="107">
        <v>50000</v>
      </c>
      <c r="M444" s="104"/>
      <c r="N444" s="101"/>
      <c r="O444" s="101">
        <v>1</v>
      </c>
      <c r="P444" s="104">
        <f>VLOOKUP($B444,ma!$A:$C,3,0)</f>
        <v>900000</v>
      </c>
      <c r="Q444" s="108">
        <v>990000</v>
      </c>
      <c r="R444" s="109">
        <v>0.1</v>
      </c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spans="1:27" ht="14">
      <c r="A445" s="97">
        <f t="shared" si="67"/>
        <v>12</v>
      </c>
      <c r="B445" s="98" t="s">
        <v>1471</v>
      </c>
      <c r="C445" s="99" t="s">
        <v>16</v>
      </c>
      <c r="D445" s="100">
        <v>46190</v>
      </c>
      <c r="E445" s="99" t="str">
        <f>VLOOKUP($C445,xe!$A:$B,2,0)</f>
        <v>50H-74619</v>
      </c>
      <c r="F445" s="101" t="str">
        <f>VLOOKUP($B445,ma!$A:$B,2,0)</f>
        <v>SONG HỒNG TÂN ( KBX )</v>
      </c>
      <c r="G445" s="102" t="s">
        <v>2011</v>
      </c>
      <c r="H445" s="103" t="s">
        <v>1949</v>
      </c>
      <c r="I445" s="104"/>
      <c r="J445" s="99"/>
      <c r="K445" s="106">
        <v>1.8</v>
      </c>
      <c r="L445" s="107">
        <v>50000</v>
      </c>
      <c r="M445" s="104"/>
      <c r="N445" s="101"/>
      <c r="O445" s="101">
        <v>1</v>
      </c>
      <c r="P445" s="104">
        <f>VLOOKUP($B445,ma!$A:$C,3,0)</f>
        <v>900000</v>
      </c>
      <c r="Q445" s="108">
        <v>990000</v>
      </c>
      <c r="R445" s="109">
        <v>0.1</v>
      </c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spans="1:27" ht="14">
      <c r="A446" s="97">
        <f t="shared" si="67"/>
        <v>13</v>
      </c>
      <c r="B446" s="98" t="s">
        <v>521</v>
      </c>
      <c r="C446" s="99" t="s">
        <v>28</v>
      </c>
      <c r="D446" s="100">
        <v>46190</v>
      </c>
      <c r="E446" s="99" t="str">
        <f>VLOOKUP($C446,xe!$A:$B,2,0)</f>
        <v>50H-54580</v>
      </c>
      <c r="F446" s="101" t="str">
        <f>VLOOKUP($B446,ma!$A:$B,2,0)</f>
        <v>Paparotti Tân Phú</v>
      </c>
      <c r="G446" s="102"/>
      <c r="H446" s="103"/>
      <c r="I446" s="104"/>
      <c r="J446" s="105" t="s">
        <v>2012</v>
      </c>
      <c r="K446" s="106">
        <v>2.4</v>
      </c>
      <c r="L446" s="107">
        <f t="shared" ref="L446:L448" si="68">K446*50000</f>
        <v>120000</v>
      </c>
      <c r="M446" s="104"/>
      <c r="N446" s="101"/>
      <c r="O446" s="101">
        <v>1</v>
      </c>
      <c r="P446" s="104">
        <f>VLOOKUP($B446,ma!$A:$C,3,0)</f>
        <v>800000</v>
      </c>
      <c r="Q446" s="108">
        <v>1460000</v>
      </c>
      <c r="R446" s="109">
        <v>0.1</v>
      </c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spans="1:27" ht="14">
      <c r="A447" s="97">
        <f t="shared" si="67"/>
        <v>14</v>
      </c>
      <c r="B447" s="98" t="s">
        <v>2013</v>
      </c>
      <c r="C447" s="99" t="s">
        <v>4</v>
      </c>
      <c r="D447" s="100">
        <v>46190</v>
      </c>
      <c r="E447" s="99" t="str">
        <f>VLOOKUP($C447,xe!$A:$B,2,0)</f>
        <v>50H-55116</v>
      </c>
      <c r="F447" s="101" t="str">
        <f>VLOOKUP($B447,ma!$A:$B,2,0)</f>
        <v>ÂN THÁI LTK Q10</v>
      </c>
      <c r="G447" s="102"/>
      <c r="H447" s="103"/>
      <c r="I447" s="104"/>
      <c r="J447" s="105" t="s">
        <v>1907</v>
      </c>
      <c r="K447" s="106">
        <v>1</v>
      </c>
      <c r="L447" s="107">
        <f t="shared" si="68"/>
        <v>50000</v>
      </c>
      <c r="M447" s="104"/>
      <c r="N447" s="101"/>
      <c r="O447" s="101">
        <v>1</v>
      </c>
      <c r="P447" s="104">
        <v>300000</v>
      </c>
      <c r="Q447" s="108">
        <v>300000</v>
      </c>
      <c r="R447" s="109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spans="1:27" ht="14">
      <c r="A448" s="97">
        <f t="shared" si="67"/>
        <v>15</v>
      </c>
      <c r="B448" s="98" t="s">
        <v>1492</v>
      </c>
      <c r="C448" s="99" t="s">
        <v>1695</v>
      </c>
      <c r="D448" s="100">
        <v>46190</v>
      </c>
      <c r="E448" s="99" t="str">
        <f>VLOOKUP($C448,xe!$A:$B,2,0)</f>
        <v>50H-64316</v>
      </c>
      <c r="F448" s="101" t="str">
        <f>VLOOKUP($B448,ma!$A:$B,2,0)</f>
        <v>NGUYỄN TRƯƠNG</v>
      </c>
      <c r="G448" s="102"/>
      <c r="H448" s="103"/>
      <c r="I448" s="104"/>
      <c r="J448" s="99"/>
      <c r="K448" s="106"/>
      <c r="L448" s="107">
        <f t="shared" si="68"/>
        <v>0</v>
      </c>
      <c r="M448" s="104"/>
      <c r="N448" s="101"/>
      <c r="O448" s="101">
        <v>1</v>
      </c>
      <c r="P448" s="104">
        <f>VLOOKUP($B448,ma!$A:$C,3,0)</f>
        <v>800000</v>
      </c>
      <c r="Q448" s="108">
        <v>880000</v>
      </c>
      <c r="R448" s="109">
        <v>0.1</v>
      </c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spans="1:27" ht="14">
      <c r="A449" s="97">
        <f t="shared" si="67"/>
        <v>16</v>
      </c>
      <c r="B449" s="98" t="s">
        <v>1707</v>
      </c>
      <c r="C449" s="99" t="s">
        <v>18</v>
      </c>
      <c r="D449" s="100">
        <v>46190</v>
      </c>
      <c r="E449" s="99" t="str">
        <f>VLOOKUP($C449,xe!$A:$B,2,0)</f>
        <v>50H 87442</v>
      </c>
      <c r="F449" s="101" t="str">
        <f>VLOOKUP($B449,ma!$A:$B,2,0)</f>
        <v>XUÂN VÂN ( K BX )</v>
      </c>
      <c r="G449" s="102" t="s">
        <v>2014</v>
      </c>
      <c r="H449" s="103" t="s">
        <v>1912</v>
      </c>
      <c r="I449" s="104"/>
      <c r="J449" s="99"/>
      <c r="K449" s="106">
        <v>1.8</v>
      </c>
      <c r="L449" s="107">
        <v>50000</v>
      </c>
      <c r="M449" s="104"/>
      <c r="N449" s="101"/>
      <c r="O449" s="101">
        <v>1</v>
      </c>
      <c r="P449" s="104">
        <f>VLOOKUP($B449,ma!$A:$C,3,0)</f>
        <v>800000</v>
      </c>
      <c r="Q449" s="108">
        <v>880000</v>
      </c>
      <c r="R449" s="109">
        <v>0.1</v>
      </c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spans="1:27" ht="14">
      <c r="A450" s="97">
        <f t="shared" si="67"/>
        <v>17</v>
      </c>
      <c r="B450" s="98" t="s">
        <v>1707</v>
      </c>
      <c r="C450" s="99" t="s">
        <v>1985</v>
      </c>
      <c r="D450" s="100">
        <v>46190</v>
      </c>
      <c r="E450" s="99" t="str">
        <f>VLOOKUP($C450,xe!$A:$B,2,0)</f>
        <v>50H-69501</v>
      </c>
      <c r="F450" s="101" t="str">
        <f>VLOOKUP($B450,ma!$A:$B,2,0)</f>
        <v>XUÂN VÂN ( K BX )</v>
      </c>
      <c r="G450" s="102"/>
      <c r="H450" s="103"/>
      <c r="I450" s="104"/>
      <c r="J450" s="99"/>
      <c r="K450" s="106"/>
      <c r="L450" s="107">
        <v>50000</v>
      </c>
      <c r="M450" s="104"/>
      <c r="N450" s="101"/>
      <c r="O450" s="101">
        <v>1</v>
      </c>
      <c r="P450" s="104">
        <f>VLOOKUP($B450,ma!$A:$C,3,0)</f>
        <v>800000</v>
      </c>
      <c r="Q450" s="108">
        <v>880000</v>
      </c>
      <c r="R450" s="109">
        <v>0.1</v>
      </c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spans="1:27" ht="14">
      <c r="A451" s="97">
        <f t="shared" si="67"/>
        <v>18</v>
      </c>
      <c r="B451" s="98" t="s">
        <v>1860</v>
      </c>
      <c r="C451" s="99" t="s">
        <v>26</v>
      </c>
      <c r="D451" s="100">
        <v>46190</v>
      </c>
      <c r="E451" s="99" t="str">
        <f>VLOOKUP($C451,xe!$A:$B,2,0)</f>
        <v>50H-55443</v>
      </c>
      <c r="F451" s="101" t="str">
        <f>VLOOKUP($B451,ma!$A:$B,2,0)</f>
        <v>HUBCAKE</v>
      </c>
      <c r="G451" s="102" t="s">
        <v>2015</v>
      </c>
      <c r="H451" s="103" t="s">
        <v>1912</v>
      </c>
      <c r="I451" s="104"/>
      <c r="J451" s="99"/>
      <c r="K451" s="106">
        <v>2.2000000000000002</v>
      </c>
      <c r="L451" s="107">
        <f t="shared" ref="L451:L453" si="69">K451*50000</f>
        <v>110000.00000000001</v>
      </c>
      <c r="M451" s="129">
        <v>200000</v>
      </c>
      <c r="N451" s="130" t="s">
        <v>2016</v>
      </c>
      <c r="O451" s="101">
        <v>1</v>
      </c>
      <c r="P451" s="104">
        <f>VLOOKUP($B451,ma!$A:$C,3,0)</f>
        <v>800000</v>
      </c>
      <c r="Q451" s="108">
        <v>880000</v>
      </c>
      <c r="R451" s="109">
        <v>0.1</v>
      </c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spans="1:27" ht="14">
      <c r="A452" s="97">
        <f t="shared" si="67"/>
        <v>19</v>
      </c>
      <c r="B452" s="98" t="s">
        <v>1684</v>
      </c>
      <c r="C452" s="99" t="s">
        <v>1565</v>
      </c>
      <c r="D452" s="100">
        <v>46190</v>
      </c>
      <c r="E452" s="99" t="str">
        <f>VLOOKUP($C452,xe!$A:$B,2,0)</f>
        <v>50H-55116</v>
      </c>
      <c r="F452" s="101" t="str">
        <f>VLOOKUP($B452,ma!$A:$B,2,0)</f>
        <v>VẠN VẠN LỢI</v>
      </c>
      <c r="G452" s="102" t="s">
        <v>2017</v>
      </c>
      <c r="H452" s="103" t="s">
        <v>1912</v>
      </c>
      <c r="I452" s="104"/>
      <c r="J452" s="99"/>
      <c r="K452" s="106">
        <v>1</v>
      </c>
      <c r="L452" s="107">
        <f t="shared" si="69"/>
        <v>50000</v>
      </c>
      <c r="M452" s="104"/>
      <c r="N452" s="101"/>
      <c r="O452" s="101">
        <v>1</v>
      </c>
      <c r="P452" s="104">
        <f>VLOOKUP($B452,ma!$A:$C,3,0)</f>
        <v>800000</v>
      </c>
      <c r="Q452" s="108">
        <v>880000</v>
      </c>
      <c r="R452" s="109">
        <v>0.1</v>
      </c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spans="1:27" ht="14">
      <c r="A453" s="97">
        <f t="shared" si="67"/>
        <v>20</v>
      </c>
      <c r="B453" s="98" t="s">
        <v>2018</v>
      </c>
      <c r="C453" s="99" t="s">
        <v>54</v>
      </c>
      <c r="D453" s="100">
        <v>46190</v>
      </c>
      <c r="E453" s="99" t="e">
        <f>VLOOKUP($C453,xe!$A:$B,2,0)</f>
        <v>#N/A</v>
      </c>
      <c r="F453" s="101" t="str">
        <f>VLOOKUP($B453,ma!$A:$B,2,0)</f>
        <v>Vũ Phúc</v>
      </c>
      <c r="G453" s="102" t="s">
        <v>2019</v>
      </c>
      <c r="H453" s="103" t="s">
        <v>1912</v>
      </c>
      <c r="I453" s="104"/>
      <c r="J453" s="99"/>
      <c r="K453" s="106">
        <v>1.6</v>
      </c>
      <c r="L453" s="107">
        <f t="shared" si="69"/>
        <v>80000</v>
      </c>
      <c r="M453" s="104"/>
      <c r="N453" s="101"/>
      <c r="O453" s="101">
        <v>1</v>
      </c>
      <c r="P453" s="104">
        <f>VLOOKUP($B453,ma!$A:$C,3,0)</f>
        <v>800000</v>
      </c>
      <c r="Q453" s="108">
        <v>880000</v>
      </c>
      <c r="R453" s="109">
        <v>0.1</v>
      </c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spans="1:27" ht="14">
      <c r="A454" s="97">
        <f t="shared" si="67"/>
        <v>21</v>
      </c>
      <c r="B454" s="98" t="s">
        <v>533</v>
      </c>
      <c r="C454" s="99" t="s">
        <v>12</v>
      </c>
      <c r="D454" s="100">
        <v>46190</v>
      </c>
      <c r="E454" s="99" t="str">
        <f>VLOOKUP($C454,xe!$A:$B,2,0)</f>
        <v>50E-164,61</v>
      </c>
      <c r="F454" s="101" t="str">
        <f>VLOOKUP($B454,ma!$A:$B,2,0)</f>
        <v>PHONG VÂN ( K BX )</v>
      </c>
      <c r="G454" s="102" t="s">
        <v>2020</v>
      </c>
      <c r="H454" s="103" t="s">
        <v>1912</v>
      </c>
      <c r="I454" s="104"/>
      <c r="J454" s="99"/>
      <c r="K454" s="106">
        <v>1.6</v>
      </c>
      <c r="L454" s="107">
        <v>50000</v>
      </c>
      <c r="M454" s="104"/>
      <c r="N454" s="101"/>
      <c r="O454" s="101">
        <v>1</v>
      </c>
      <c r="P454" s="104">
        <f>VLOOKUP($B454,ma!$A:$C,3,0)</f>
        <v>800000</v>
      </c>
      <c r="Q454" s="108">
        <v>880000</v>
      </c>
      <c r="R454" s="109">
        <v>0.1</v>
      </c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spans="1:27" ht="14">
      <c r="A455" s="97">
        <f t="shared" si="67"/>
        <v>22</v>
      </c>
      <c r="B455" s="98" t="s">
        <v>533</v>
      </c>
      <c r="C455" s="99" t="s">
        <v>22</v>
      </c>
      <c r="D455" s="100">
        <v>46190</v>
      </c>
      <c r="E455" s="99" t="str">
        <f>VLOOKUP($C455,xe!$A:$B,2,0)</f>
        <v>50H-66445</v>
      </c>
      <c r="F455" s="101" t="str">
        <f>VLOOKUP($B455,ma!$A:$B,2,0)</f>
        <v>PHONG VÂN ( K BX )</v>
      </c>
      <c r="G455" s="102" t="s">
        <v>2021</v>
      </c>
      <c r="H455" s="103" t="s">
        <v>1912</v>
      </c>
      <c r="I455" s="104"/>
      <c r="J455" s="99"/>
      <c r="K455" s="106">
        <v>1.8</v>
      </c>
      <c r="L455" s="107">
        <v>50000</v>
      </c>
      <c r="M455" s="104"/>
      <c r="N455" s="101"/>
      <c r="O455" s="101">
        <v>1</v>
      </c>
      <c r="P455" s="104">
        <f>VLOOKUP($B455,ma!$A:$C,3,0)</f>
        <v>800000</v>
      </c>
      <c r="Q455" s="108">
        <v>880000</v>
      </c>
      <c r="R455" s="109">
        <v>0.1</v>
      </c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spans="1:27" ht="14">
      <c r="A456" s="97">
        <f t="shared" si="67"/>
        <v>23</v>
      </c>
      <c r="B456" s="98" t="s">
        <v>533</v>
      </c>
      <c r="C456" s="99" t="s">
        <v>14</v>
      </c>
      <c r="D456" s="100">
        <v>46190</v>
      </c>
      <c r="E456" s="99" t="str">
        <f>VLOOKUP($C456,xe!$A:$B,2,0)</f>
        <v>51H -88294</v>
      </c>
      <c r="F456" s="101" t="str">
        <f>VLOOKUP($B456,ma!$A:$B,2,0)</f>
        <v>PHONG VÂN ( K BX )</v>
      </c>
      <c r="G456" s="102" t="s">
        <v>2022</v>
      </c>
      <c r="H456" s="103" t="s">
        <v>1912</v>
      </c>
      <c r="I456" s="104"/>
      <c r="J456" s="99"/>
      <c r="K456" s="106">
        <v>1.8</v>
      </c>
      <c r="L456" s="107">
        <v>50000</v>
      </c>
      <c r="M456" s="104"/>
      <c r="N456" s="101"/>
      <c r="O456" s="101">
        <v>1</v>
      </c>
      <c r="P456" s="104">
        <f>VLOOKUP($B456,ma!$A:$C,3,0)</f>
        <v>800000</v>
      </c>
      <c r="Q456" s="108">
        <v>880000</v>
      </c>
      <c r="R456" s="109">
        <v>0.1</v>
      </c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spans="1:27" ht="14">
      <c r="A457" s="97">
        <f t="shared" si="67"/>
        <v>24</v>
      </c>
      <c r="B457" s="98" t="s">
        <v>533</v>
      </c>
      <c r="C457" s="99" t="s">
        <v>24</v>
      </c>
      <c r="D457" s="100">
        <v>46190</v>
      </c>
      <c r="E457" s="99" t="str">
        <f>VLOOKUP($C457,xe!$A:$B,2,0)</f>
        <v>50H-55161</v>
      </c>
      <c r="F457" s="101" t="str">
        <f>VLOOKUP($B457,ma!$A:$B,2,0)</f>
        <v>PHONG VÂN ( K BX )</v>
      </c>
      <c r="G457" s="102" t="s">
        <v>2023</v>
      </c>
      <c r="H457" s="103" t="s">
        <v>1912</v>
      </c>
      <c r="I457" s="104"/>
      <c r="J457" s="99"/>
      <c r="K457" s="106">
        <v>1.8</v>
      </c>
      <c r="L457" s="107">
        <v>50000</v>
      </c>
      <c r="M457" s="104"/>
      <c r="N457" s="101"/>
      <c r="O457" s="101">
        <v>1</v>
      </c>
      <c r="P457" s="104">
        <f>VLOOKUP($B457,ma!$A:$C,3,0)</f>
        <v>800000</v>
      </c>
      <c r="Q457" s="108">
        <v>880000</v>
      </c>
      <c r="R457" s="109">
        <v>0.1</v>
      </c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spans="1:27" ht="14">
      <c r="A458" s="97">
        <f t="shared" si="67"/>
        <v>25</v>
      </c>
      <c r="B458" s="98" t="s">
        <v>533</v>
      </c>
      <c r="C458" s="99" t="s">
        <v>16</v>
      </c>
      <c r="D458" s="100">
        <v>46190</v>
      </c>
      <c r="E458" s="99" t="str">
        <f>VLOOKUP($C458,xe!$A:$B,2,0)</f>
        <v>50H-74619</v>
      </c>
      <c r="F458" s="101" t="str">
        <f>VLOOKUP($B458,ma!$A:$B,2,0)</f>
        <v>PHONG VÂN ( K BX )</v>
      </c>
      <c r="G458" s="102" t="s">
        <v>2024</v>
      </c>
      <c r="H458" s="103" t="s">
        <v>1912</v>
      </c>
      <c r="I458" s="104"/>
      <c r="J458" s="99"/>
      <c r="K458" s="106">
        <v>1.8</v>
      </c>
      <c r="L458" s="107">
        <v>50000</v>
      </c>
      <c r="M458" s="104"/>
      <c r="N458" s="101"/>
      <c r="O458" s="101">
        <v>1</v>
      </c>
      <c r="P458" s="104">
        <f>VLOOKUP($B458,ma!$A:$C,3,0)</f>
        <v>800000</v>
      </c>
      <c r="Q458" s="108">
        <v>880000</v>
      </c>
      <c r="R458" s="109">
        <v>0.1</v>
      </c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spans="1:27" ht="14">
      <c r="A459" s="97">
        <f t="shared" si="67"/>
        <v>26</v>
      </c>
      <c r="B459" s="98" t="s">
        <v>533</v>
      </c>
      <c r="C459" s="99" t="s">
        <v>28</v>
      </c>
      <c r="D459" s="100">
        <v>46190</v>
      </c>
      <c r="E459" s="99" t="str">
        <f>VLOOKUP($C459,xe!$A:$B,2,0)</f>
        <v>50H-54580</v>
      </c>
      <c r="F459" s="101" t="str">
        <f>VLOOKUP($B459,ma!$A:$B,2,0)</f>
        <v>PHONG VÂN ( K BX )</v>
      </c>
      <c r="G459" s="102" t="s">
        <v>2025</v>
      </c>
      <c r="H459" s="103" t="s">
        <v>1912</v>
      </c>
      <c r="I459" s="104"/>
      <c r="J459" s="99"/>
      <c r="K459" s="106"/>
      <c r="L459" s="107">
        <v>50000</v>
      </c>
      <c r="M459" s="104"/>
      <c r="N459" s="101"/>
      <c r="O459" s="101">
        <v>1</v>
      </c>
      <c r="P459" s="104">
        <f>VLOOKUP($B459,ma!$A:$C,3,0)</f>
        <v>800000</v>
      </c>
      <c r="Q459" s="108">
        <v>880000</v>
      </c>
      <c r="R459" s="109">
        <v>0.1</v>
      </c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spans="1:27" ht="14">
      <c r="A460" s="97">
        <f t="shared" si="67"/>
        <v>27</v>
      </c>
      <c r="B460" s="98" t="s">
        <v>533</v>
      </c>
      <c r="C460" s="99" t="s">
        <v>1565</v>
      </c>
      <c r="D460" s="100">
        <v>46190</v>
      </c>
      <c r="E460" s="99" t="str">
        <f>VLOOKUP($C460,xe!$A:$B,2,0)</f>
        <v>50H-55116</v>
      </c>
      <c r="F460" s="101" t="str">
        <f>VLOOKUP($B460,ma!$A:$B,2,0)</f>
        <v>PHONG VÂN ( K BX )</v>
      </c>
      <c r="G460" s="102" t="s">
        <v>2026</v>
      </c>
      <c r="H460" s="103" t="s">
        <v>1912</v>
      </c>
      <c r="I460" s="104"/>
      <c r="J460" s="99"/>
      <c r="K460" s="106">
        <v>1.8</v>
      </c>
      <c r="L460" s="107">
        <v>50000</v>
      </c>
      <c r="M460" s="104"/>
      <c r="N460" s="101"/>
      <c r="O460" s="101">
        <v>1</v>
      </c>
      <c r="P460" s="104">
        <f>VLOOKUP($B460,ma!$A:$C,3,0)</f>
        <v>800000</v>
      </c>
      <c r="Q460" s="108">
        <v>880000</v>
      </c>
      <c r="R460" s="109">
        <v>0.1</v>
      </c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spans="1:27" ht="14">
      <c r="A461" s="97">
        <f t="shared" si="67"/>
        <v>28</v>
      </c>
      <c r="B461" s="98" t="s">
        <v>2027</v>
      </c>
      <c r="C461" s="99" t="s">
        <v>1695</v>
      </c>
      <c r="D461" s="100">
        <v>46190</v>
      </c>
      <c r="E461" s="99" t="str">
        <f>VLOOKUP($C461,xe!$A:$B,2,0)</f>
        <v>50H-64316</v>
      </c>
      <c r="F461" s="101" t="str">
        <f>VLOOKUP($B461,ma!$A:$B,2,0)</f>
        <v>ĐẠT NGỌC</v>
      </c>
      <c r="G461" s="102"/>
      <c r="H461" s="103"/>
      <c r="I461" s="104"/>
      <c r="J461" s="99"/>
      <c r="K461" s="106"/>
      <c r="L461" s="107">
        <f t="shared" ref="L461:L474" si="70">K461*50000</f>
        <v>0</v>
      </c>
      <c r="M461" s="104"/>
      <c r="N461" s="101"/>
      <c r="O461" s="101">
        <v>1</v>
      </c>
      <c r="P461" s="104">
        <f>VLOOKUP($B461,ma!$A:$C,3,0)</f>
        <v>800000</v>
      </c>
      <c r="Q461" s="108">
        <v>880000</v>
      </c>
      <c r="R461" s="109">
        <v>0.1</v>
      </c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spans="1:27" ht="14">
      <c r="A462" s="97">
        <f t="shared" si="67"/>
        <v>29</v>
      </c>
      <c r="B462" s="98" t="s">
        <v>2027</v>
      </c>
      <c r="C462" s="99" t="s">
        <v>63</v>
      </c>
      <c r="D462" s="100">
        <v>46190</v>
      </c>
      <c r="E462" s="99" t="e">
        <f>VLOOKUP($C462,xe!$A:$B,2,0)</f>
        <v>#N/A</v>
      </c>
      <c r="F462" s="101" t="str">
        <f>VLOOKUP($B462,ma!$A:$B,2,0)</f>
        <v>ĐẠT NGỌC</v>
      </c>
      <c r="G462" s="102" t="s">
        <v>2028</v>
      </c>
      <c r="H462" s="103" t="s">
        <v>1949</v>
      </c>
      <c r="I462" s="104"/>
      <c r="J462" s="99"/>
      <c r="K462" s="106">
        <v>1.4</v>
      </c>
      <c r="L462" s="107">
        <f t="shared" si="70"/>
        <v>70000</v>
      </c>
      <c r="M462" s="104"/>
      <c r="N462" s="101"/>
      <c r="O462" s="101">
        <v>1</v>
      </c>
      <c r="P462" s="104">
        <f>VLOOKUP($B462,ma!$A:$C,3,0)</f>
        <v>800000</v>
      </c>
      <c r="Q462" s="108">
        <v>880000</v>
      </c>
      <c r="R462" s="109">
        <v>0.1</v>
      </c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spans="1:27" ht="14">
      <c r="A463" s="97">
        <f t="shared" si="67"/>
        <v>30</v>
      </c>
      <c r="B463" s="98" t="s">
        <v>1182</v>
      </c>
      <c r="C463" s="99" t="s">
        <v>1572</v>
      </c>
      <c r="D463" s="100">
        <v>46190</v>
      </c>
      <c r="E463" s="99" t="str">
        <f>VLOOKUP($C463,xe!$A:$B,2,0)</f>
        <v>50H-69501</v>
      </c>
      <c r="F463" s="101" t="str">
        <f>VLOOKUP($B463,ma!$A:$B,2,0)</f>
        <v>SATRA VIETTEL</v>
      </c>
      <c r="G463" s="102"/>
      <c r="H463" s="103"/>
      <c r="I463" s="104"/>
      <c r="J463" s="99"/>
      <c r="K463" s="106"/>
      <c r="L463" s="107">
        <f t="shared" si="70"/>
        <v>0</v>
      </c>
      <c r="M463" s="104"/>
      <c r="N463" s="101"/>
      <c r="O463" s="101">
        <v>1</v>
      </c>
      <c r="P463" s="104">
        <f>VLOOKUP($B463,ma!$A:$C,3,0)</f>
        <v>800000</v>
      </c>
      <c r="Q463" s="108">
        <v>880000</v>
      </c>
      <c r="R463" s="109">
        <v>0.1</v>
      </c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spans="1:27" ht="14">
      <c r="A464" s="97">
        <f t="shared" si="67"/>
        <v>31</v>
      </c>
      <c r="B464" s="98" t="s">
        <v>1131</v>
      </c>
      <c r="C464" s="99" t="s">
        <v>1570</v>
      </c>
      <c r="D464" s="100">
        <v>46190</v>
      </c>
      <c r="E464" s="99" t="str">
        <f>VLOOKUP($C464,xe!$A:$B,2,0)</f>
        <v>50H-66445</v>
      </c>
      <c r="F464" s="101" t="str">
        <f>VLOOKUP($B464,ma!$A:$B,2,0)</f>
        <v>BHX DĨ AN</v>
      </c>
      <c r="G464" s="102"/>
      <c r="H464" s="103"/>
      <c r="I464" s="104"/>
      <c r="J464" s="99"/>
      <c r="K464" s="106">
        <v>1.8</v>
      </c>
      <c r="L464" s="107">
        <f t="shared" si="70"/>
        <v>90000</v>
      </c>
      <c r="M464" s="104"/>
      <c r="N464" s="101"/>
      <c r="O464" s="101">
        <v>1</v>
      </c>
      <c r="P464" s="104">
        <f>VLOOKUP($B464,ma!$A:$C,3,0)</f>
        <v>900000</v>
      </c>
      <c r="Q464" s="108">
        <v>990000</v>
      </c>
      <c r="R464" s="109">
        <v>0.1</v>
      </c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spans="1:27" ht="14">
      <c r="A465" s="97">
        <f t="shared" si="67"/>
        <v>32</v>
      </c>
      <c r="B465" s="98" t="s">
        <v>1131</v>
      </c>
      <c r="C465" s="99" t="s">
        <v>1505</v>
      </c>
      <c r="D465" s="100">
        <v>46190</v>
      </c>
      <c r="E465" s="99" t="str">
        <f>VLOOKUP($C465,xe!$A:$B,2,0)</f>
        <v>50H 87442</v>
      </c>
      <c r="F465" s="101" t="str">
        <f>VLOOKUP($B465,ma!$A:$B,2,0)</f>
        <v>BHX DĨ AN</v>
      </c>
      <c r="G465" s="102"/>
      <c r="H465" s="103"/>
      <c r="I465" s="104"/>
      <c r="J465" s="99"/>
      <c r="K465" s="106"/>
      <c r="L465" s="107">
        <f t="shared" si="70"/>
        <v>0</v>
      </c>
      <c r="M465" s="104"/>
      <c r="N465" s="101"/>
      <c r="O465" s="101">
        <v>1</v>
      </c>
      <c r="P465" s="104">
        <f>VLOOKUP($B465,ma!$A:$C,3,0)</f>
        <v>900000</v>
      </c>
      <c r="Q465" s="108">
        <v>990000</v>
      </c>
      <c r="R465" s="109">
        <v>0.1</v>
      </c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spans="1:27" ht="14">
      <c r="A466" s="97">
        <f t="shared" si="67"/>
        <v>33</v>
      </c>
      <c r="B466" s="98" t="s">
        <v>1123</v>
      </c>
      <c r="C466" s="99" t="s">
        <v>62</v>
      </c>
      <c r="D466" s="100">
        <v>46190</v>
      </c>
      <c r="E466" s="114" t="e">
        <f>VLOOKUP($C466,xe!$A:$B,2,0)</f>
        <v>#N/A</v>
      </c>
      <c r="F466" s="101" t="str">
        <f>VLOOKUP($B466,ma!$A:$B,2,0)</f>
        <v>BHX XUYÊN Á</v>
      </c>
      <c r="G466" s="102"/>
      <c r="H466" s="103"/>
      <c r="I466" s="104"/>
      <c r="J466" s="105" t="s">
        <v>465</v>
      </c>
      <c r="K466" s="106">
        <v>1.8</v>
      </c>
      <c r="L466" s="107">
        <f t="shared" si="70"/>
        <v>90000</v>
      </c>
      <c r="M466" s="104"/>
      <c r="N466" s="101"/>
      <c r="O466" s="101">
        <v>1</v>
      </c>
      <c r="P466" s="104">
        <f>VLOOKUP($B466,ma!$A:$C,3,0)</f>
        <v>900000</v>
      </c>
      <c r="Q466" s="108">
        <v>990000</v>
      </c>
      <c r="R466" s="109">
        <v>0.1</v>
      </c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spans="1:27" ht="14">
      <c r="A467" s="97">
        <f t="shared" si="67"/>
        <v>34</v>
      </c>
      <c r="B467" s="98" t="s">
        <v>1645</v>
      </c>
      <c r="C467" s="99" t="s">
        <v>1846</v>
      </c>
      <c r="D467" s="100">
        <v>46190</v>
      </c>
      <c r="E467" s="99" t="str">
        <f>VLOOKUP($C467,xe!$A:$B,2,0)</f>
        <v>50H-50999</v>
      </c>
      <c r="F467" s="101" t="str">
        <f>VLOOKUP($B467,ma!$A:$B,2,0)</f>
        <v>AEON RDC Q12</v>
      </c>
      <c r="G467" s="102" t="s">
        <v>2029</v>
      </c>
      <c r="H467" s="103" t="s">
        <v>1949</v>
      </c>
      <c r="I467" s="104"/>
      <c r="J467" s="105" t="s">
        <v>119</v>
      </c>
      <c r="K467" s="106">
        <v>2</v>
      </c>
      <c r="L467" s="107">
        <f t="shared" si="70"/>
        <v>100000</v>
      </c>
      <c r="M467" s="104"/>
      <c r="N467" s="101"/>
      <c r="O467" s="101">
        <v>1</v>
      </c>
      <c r="P467" s="104">
        <f>VLOOKUP($B467,ma!$A:$C,3,0)</f>
        <v>800000</v>
      </c>
      <c r="Q467" s="108">
        <v>880000</v>
      </c>
      <c r="R467" s="109">
        <v>0.1</v>
      </c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spans="1:27" ht="14">
      <c r="A468" s="97">
        <f t="shared" si="67"/>
        <v>35</v>
      </c>
      <c r="B468" s="98" t="s">
        <v>1645</v>
      </c>
      <c r="C468" s="99" t="s">
        <v>1554</v>
      </c>
      <c r="D468" s="100">
        <v>46190</v>
      </c>
      <c r="E468" s="99" t="str">
        <f>VLOOKUP($C468,xe!$A:$B,2,0)</f>
        <v>50H-63174</v>
      </c>
      <c r="F468" s="101" t="str">
        <f>VLOOKUP($B468,ma!$A:$B,2,0)</f>
        <v>AEON RDC Q12</v>
      </c>
      <c r="G468" s="102" t="s">
        <v>2030</v>
      </c>
      <c r="H468" s="103" t="s">
        <v>1949</v>
      </c>
      <c r="I468" s="104"/>
      <c r="J468" s="105" t="s">
        <v>119</v>
      </c>
      <c r="K468" s="106">
        <v>2</v>
      </c>
      <c r="L468" s="107">
        <f t="shared" si="70"/>
        <v>100000</v>
      </c>
      <c r="M468" s="104"/>
      <c r="N468" s="101"/>
      <c r="O468" s="101">
        <v>1</v>
      </c>
      <c r="P468" s="104">
        <f>VLOOKUP($B468,ma!$A:$C,3,0)</f>
        <v>800000</v>
      </c>
      <c r="Q468" s="108">
        <v>880000</v>
      </c>
      <c r="R468" s="109">
        <v>0.1</v>
      </c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spans="1:27" ht="14">
      <c r="A469" s="97">
        <f t="shared" si="67"/>
        <v>36</v>
      </c>
      <c r="B469" s="98" t="s">
        <v>1645</v>
      </c>
      <c r="C469" s="99" t="s">
        <v>16</v>
      </c>
      <c r="D469" s="100">
        <v>46190</v>
      </c>
      <c r="E469" s="99" t="str">
        <f>VLOOKUP($C469,xe!$A:$B,2,0)</f>
        <v>50H-74619</v>
      </c>
      <c r="F469" s="101" t="str">
        <f>VLOOKUP($B469,ma!$A:$B,2,0)</f>
        <v>AEON RDC Q12</v>
      </c>
      <c r="G469" s="102" t="s">
        <v>2031</v>
      </c>
      <c r="H469" s="103" t="s">
        <v>1949</v>
      </c>
      <c r="I469" s="104"/>
      <c r="J469" s="105" t="s">
        <v>119</v>
      </c>
      <c r="K469" s="106">
        <v>2</v>
      </c>
      <c r="L469" s="107">
        <f t="shared" si="70"/>
        <v>100000</v>
      </c>
      <c r="M469" s="104"/>
      <c r="N469" s="101"/>
      <c r="O469" s="101">
        <v>1</v>
      </c>
      <c r="P469" s="104">
        <f>VLOOKUP($B469,ma!$A:$C,3,0)</f>
        <v>800000</v>
      </c>
      <c r="Q469" s="108">
        <v>880000</v>
      </c>
      <c r="R469" s="109">
        <v>0.1</v>
      </c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spans="1:27" ht="14">
      <c r="A470" s="116">
        <v>1</v>
      </c>
      <c r="B470" s="117" t="s">
        <v>2032</v>
      </c>
      <c r="C470" s="118" t="s">
        <v>56</v>
      </c>
      <c r="D470" s="119">
        <v>46191</v>
      </c>
      <c r="E470" s="118" t="e">
        <f>VLOOKUP($C470,xe!$A:$B,2,0)</f>
        <v>#N/A</v>
      </c>
      <c r="F470" s="120" t="str">
        <f>VLOOKUP($B470,ma!$A:$B,2,0)</f>
        <v>LOTTE-GÒ VẤP</v>
      </c>
      <c r="G470" s="121" t="s">
        <v>2033</v>
      </c>
      <c r="H470" s="122" t="s">
        <v>1949</v>
      </c>
      <c r="I470" s="123"/>
      <c r="J470" s="105" t="s">
        <v>119</v>
      </c>
      <c r="K470" s="124">
        <v>1.8</v>
      </c>
      <c r="L470" s="125">
        <f t="shared" si="70"/>
        <v>90000</v>
      </c>
      <c r="M470" s="123"/>
      <c r="N470" s="120"/>
      <c r="O470" s="120">
        <v>1</v>
      </c>
      <c r="P470" s="123">
        <f>VLOOKUP($B470,ma!$A:$C,3,0)</f>
        <v>800000</v>
      </c>
      <c r="Q470" s="108">
        <v>880000</v>
      </c>
      <c r="R470" s="109">
        <v>0.1</v>
      </c>
      <c r="S470" s="111"/>
      <c r="T470" s="111"/>
      <c r="U470" s="111"/>
      <c r="V470" s="111"/>
      <c r="W470" s="111"/>
      <c r="X470" s="111"/>
      <c r="Y470" s="111"/>
      <c r="Z470" s="111"/>
      <c r="AA470" s="111"/>
    </row>
    <row r="471" spans="1:27" ht="14">
      <c r="A471" s="97">
        <f t="shared" ref="A471:A510" si="71">A470+1</f>
        <v>2</v>
      </c>
      <c r="B471" s="98" t="s">
        <v>2032</v>
      </c>
      <c r="C471" s="99" t="s">
        <v>57</v>
      </c>
      <c r="D471" s="100">
        <v>46191</v>
      </c>
      <c r="E471" s="99" t="e">
        <f>VLOOKUP($C471,xe!$A:$B,2,0)</f>
        <v>#N/A</v>
      </c>
      <c r="F471" s="101" t="str">
        <f>VLOOKUP($B471,ma!$A:$B,2,0)</f>
        <v>LOTTE-GÒ VẤP</v>
      </c>
      <c r="G471" s="102" t="s">
        <v>2034</v>
      </c>
      <c r="H471" s="103" t="s">
        <v>1949</v>
      </c>
      <c r="I471" s="104"/>
      <c r="J471" s="105" t="s">
        <v>119</v>
      </c>
      <c r="K471" s="106">
        <v>1.8</v>
      </c>
      <c r="L471" s="107">
        <f t="shared" si="70"/>
        <v>90000</v>
      </c>
      <c r="M471" s="104"/>
      <c r="N471" s="101"/>
      <c r="O471" s="101">
        <v>1</v>
      </c>
      <c r="P471" s="104">
        <f>VLOOKUP($B471,ma!$A:$C,3,0)</f>
        <v>800000</v>
      </c>
      <c r="Q471" s="108">
        <v>880000</v>
      </c>
      <c r="R471" s="109">
        <v>0.1</v>
      </c>
      <c r="S471" s="111"/>
      <c r="T471" s="111"/>
      <c r="U471" s="111"/>
      <c r="V471" s="111"/>
      <c r="W471" s="111"/>
      <c r="X471" s="111"/>
      <c r="Y471" s="111"/>
      <c r="Z471" s="111"/>
      <c r="AA471" s="111"/>
    </row>
    <row r="472" spans="1:27" ht="14">
      <c r="A472" s="97">
        <f t="shared" si="71"/>
        <v>3</v>
      </c>
      <c r="B472" s="98" t="s">
        <v>1457</v>
      </c>
      <c r="C472" s="99" t="s">
        <v>61</v>
      </c>
      <c r="D472" s="100">
        <v>46191</v>
      </c>
      <c r="E472" s="99" t="e">
        <f>VLOOKUP($C472,xe!$A:$B,2,0)</f>
        <v>#N/A</v>
      </c>
      <c r="F472" s="101" t="str">
        <f>VLOOKUP($B472,ma!$A:$B,2,0)</f>
        <v>E MART P.V.TRỊ</v>
      </c>
      <c r="G472" s="102" t="s">
        <v>2035</v>
      </c>
      <c r="H472" s="103" t="s">
        <v>1949</v>
      </c>
      <c r="I472" s="104"/>
      <c r="J472" s="105" t="s">
        <v>119</v>
      </c>
      <c r="K472" s="106">
        <v>1.2</v>
      </c>
      <c r="L472" s="107">
        <f t="shared" si="70"/>
        <v>60000</v>
      </c>
      <c r="M472" s="104"/>
      <c r="N472" s="101"/>
      <c r="O472" s="101">
        <v>1</v>
      </c>
      <c r="P472" s="104">
        <f>VLOOKUP($B472,ma!$A:$C,3,0)</f>
        <v>800000</v>
      </c>
      <c r="Q472" s="108">
        <v>880000</v>
      </c>
      <c r="R472" s="109">
        <v>0.1</v>
      </c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spans="1:27" ht="14">
      <c r="A473" s="97">
        <f t="shared" si="71"/>
        <v>4</v>
      </c>
      <c r="B473" s="98" t="s">
        <v>1474</v>
      </c>
      <c r="C473" s="99" t="s">
        <v>63</v>
      </c>
      <c r="D473" s="100">
        <v>46191</v>
      </c>
      <c r="E473" s="99" t="e">
        <f>VLOOKUP($C473,xe!$A:$B,2,0)</f>
        <v>#N/A</v>
      </c>
      <c r="F473" s="101" t="str">
        <f>VLOOKUP($B473,ma!$A:$B,2,0)</f>
        <v>TP2 GÒ VẤP</v>
      </c>
      <c r="G473" s="102" t="s">
        <v>2036</v>
      </c>
      <c r="H473" s="103" t="s">
        <v>1949</v>
      </c>
      <c r="I473" s="104"/>
      <c r="J473" s="105" t="s">
        <v>465</v>
      </c>
      <c r="K473" s="106">
        <v>1.6</v>
      </c>
      <c r="L473" s="107">
        <f t="shared" si="70"/>
        <v>80000</v>
      </c>
      <c r="M473" s="104"/>
      <c r="N473" s="101"/>
      <c r="O473" s="101">
        <v>1</v>
      </c>
      <c r="P473" s="104">
        <f>VLOOKUP($B473,ma!$A:$C,3,0)</f>
        <v>800000</v>
      </c>
      <c r="Q473" s="108">
        <v>880000</v>
      </c>
      <c r="R473" s="109">
        <v>0.1</v>
      </c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spans="1:27" ht="14">
      <c r="A474" s="97">
        <f t="shared" si="71"/>
        <v>5</v>
      </c>
      <c r="B474" s="98" t="s">
        <v>1651</v>
      </c>
      <c r="C474" s="99" t="s">
        <v>1484</v>
      </c>
      <c r="D474" s="100">
        <v>46191</v>
      </c>
      <c r="E474" s="99" t="e">
        <f>VLOOKUP($C474,xe!$A:$B,2,0)</f>
        <v>#N/A</v>
      </c>
      <c r="F474" s="101" t="str">
        <f>VLOOKUP($B474,ma!$A:$B,2,0)</f>
        <v>BHX LONG BÌNH</v>
      </c>
      <c r="G474" s="102"/>
      <c r="H474" s="103"/>
      <c r="I474" s="104"/>
      <c r="J474" s="105" t="s">
        <v>465</v>
      </c>
      <c r="K474" s="106">
        <v>1.8</v>
      </c>
      <c r="L474" s="107">
        <f t="shared" si="70"/>
        <v>90000</v>
      </c>
      <c r="M474" s="104"/>
      <c r="N474" s="101"/>
      <c r="O474" s="101">
        <v>1</v>
      </c>
      <c r="P474" s="104">
        <f>VLOOKUP($B474,ma!$A:$C,3,0)</f>
        <v>900000</v>
      </c>
      <c r="Q474" s="108">
        <v>990000</v>
      </c>
      <c r="R474" s="109">
        <v>0.1</v>
      </c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spans="1:27" ht="14">
      <c r="A475" s="97">
        <f t="shared" si="71"/>
        <v>6</v>
      </c>
      <c r="B475" s="98" t="s">
        <v>1468</v>
      </c>
      <c r="C475" s="99" t="s">
        <v>58</v>
      </c>
      <c r="D475" s="100">
        <v>46191</v>
      </c>
      <c r="E475" s="99" t="e">
        <f>VLOOKUP($C475,xe!$A:$B,2,0)</f>
        <v>#N/A</v>
      </c>
      <c r="F475" s="101" t="str">
        <f>VLOOKUP($B475,ma!$A:$B,2,0)</f>
        <v>ANFOOD Q12 ( K BX )</v>
      </c>
      <c r="G475" s="102"/>
      <c r="H475" s="103"/>
      <c r="I475" s="104"/>
      <c r="J475" s="99"/>
      <c r="K475" s="106"/>
      <c r="L475" s="107"/>
      <c r="M475" s="104"/>
      <c r="N475" s="101"/>
      <c r="O475" s="101">
        <v>1</v>
      </c>
      <c r="P475" s="104">
        <f>VLOOKUP($B475,ma!$A:$C,3,0)</f>
        <v>800000</v>
      </c>
      <c r="Q475" s="108">
        <v>880000</v>
      </c>
      <c r="R475" s="109">
        <v>0.1</v>
      </c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spans="1:27" ht="14">
      <c r="A476" s="97">
        <f t="shared" si="71"/>
        <v>7</v>
      </c>
      <c r="B476" s="98" t="s">
        <v>1468</v>
      </c>
      <c r="C476" s="99" t="s">
        <v>24</v>
      </c>
      <c r="D476" s="100">
        <v>46191</v>
      </c>
      <c r="E476" s="99" t="str">
        <f>VLOOKUP($C476,xe!$A:$B,2,0)</f>
        <v>50H-55161</v>
      </c>
      <c r="F476" s="101" t="str">
        <f>VLOOKUP($B476,ma!$A:$B,2,0)</f>
        <v>ANFOOD Q12 ( K BX )</v>
      </c>
      <c r="G476" s="102" t="s">
        <v>2037</v>
      </c>
      <c r="H476" s="103" t="s">
        <v>1949</v>
      </c>
      <c r="I476" s="104"/>
      <c r="J476" s="99"/>
      <c r="K476" s="106">
        <v>2</v>
      </c>
      <c r="L476" s="107">
        <v>50000</v>
      </c>
      <c r="M476" s="104"/>
      <c r="N476" s="101"/>
      <c r="O476" s="101">
        <v>1</v>
      </c>
      <c r="P476" s="104">
        <f>VLOOKUP($B476,ma!$A:$C,3,0)</f>
        <v>800000</v>
      </c>
      <c r="Q476" s="108">
        <v>880000</v>
      </c>
      <c r="R476" s="109">
        <v>0.1</v>
      </c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spans="1:27" ht="14">
      <c r="A477" s="97">
        <f t="shared" si="71"/>
        <v>8</v>
      </c>
      <c r="B477" s="98" t="s">
        <v>1857</v>
      </c>
      <c r="C477" s="99" t="s">
        <v>1695</v>
      </c>
      <c r="D477" s="100">
        <v>46191</v>
      </c>
      <c r="E477" s="99" t="str">
        <f>VLOOKUP($C477,xe!$A:$B,2,0)</f>
        <v>50H-64316</v>
      </c>
      <c r="F477" s="101" t="str">
        <f>VLOOKUP($B477,ma!$A:$B,2,0)</f>
        <v>BC NEW CTY</v>
      </c>
      <c r="G477" s="102"/>
      <c r="H477" s="103"/>
      <c r="I477" s="104"/>
      <c r="J477" s="99"/>
      <c r="K477" s="106"/>
      <c r="L477" s="107">
        <f t="shared" ref="L477:L480" si="72">K477*50000</f>
        <v>0</v>
      </c>
      <c r="M477" s="104"/>
      <c r="N477" s="101"/>
      <c r="O477" s="101">
        <v>1</v>
      </c>
      <c r="P477" s="104">
        <f>VLOOKUP($B477,ma!$A:$C,3,0)</f>
        <v>800000</v>
      </c>
      <c r="Q477" s="108">
        <v>880000</v>
      </c>
      <c r="R477" s="109">
        <v>0.1</v>
      </c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spans="1:27" ht="14">
      <c r="A478" s="97">
        <f t="shared" si="71"/>
        <v>9</v>
      </c>
      <c r="B478" s="98" t="s">
        <v>1492</v>
      </c>
      <c r="C478" s="99" t="s">
        <v>12</v>
      </c>
      <c r="D478" s="100">
        <v>46191</v>
      </c>
      <c r="E478" s="99" t="str">
        <f>VLOOKUP($C478,xe!$A:$B,2,0)</f>
        <v>50E-164,61</v>
      </c>
      <c r="F478" s="101" t="str">
        <f>VLOOKUP($B478,ma!$A:$B,2,0)</f>
        <v>NGUYỄN TRƯƠNG</v>
      </c>
      <c r="G478" s="102" t="s">
        <v>2038</v>
      </c>
      <c r="H478" s="103" t="s">
        <v>1949</v>
      </c>
      <c r="I478" s="104"/>
      <c r="J478" s="99"/>
      <c r="K478" s="106">
        <v>1.4</v>
      </c>
      <c r="L478" s="107">
        <f t="shared" si="72"/>
        <v>70000</v>
      </c>
      <c r="M478" s="104"/>
      <c r="N478" s="101"/>
      <c r="O478" s="101">
        <v>1</v>
      </c>
      <c r="P478" s="104">
        <f>VLOOKUP($B478,ma!$A:$C,3,0)</f>
        <v>800000</v>
      </c>
      <c r="Q478" s="108">
        <v>880000</v>
      </c>
      <c r="R478" s="109">
        <v>0.1</v>
      </c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spans="1:27" ht="14">
      <c r="A479" s="97">
        <f t="shared" si="71"/>
        <v>10</v>
      </c>
      <c r="B479" s="98" t="s">
        <v>1799</v>
      </c>
      <c r="C479" s="99" t="s">
        <v>28</v>
      </c>
      <c r="D479" s="100">
        <v>46191</v>
      </c>
      <c r="E479" s="99" t="str">
        <f>VLOOKUP($C479,xe!$A:$B,2,0)</f>
        <v>50H-54580</v>
      </c>
      <c r="F479" s="101" t="str">
        <f>VLOOKUP($B479,ma!$A:$B,2,0)</f>
        <v>DƯƠNG DƯƠNG CHÂU</v>
      </c>
      <c r="G479" s="102"/>
      <c r="H479" s="103"/>
      <c r="I479" s="104"/>
      <c r="J479" s="99"/>
      <c r="K479" s="106"/>
      <c r="L479" s="107">
        <f t="shared" si="72"/>
        <v>0</v>
      </c>
      <c r="M479" s="104"/>
      <c r="N479" s="101"/>
      <c r="O479" s="101">
        <v>1</v>
      </c>
      <c r="P479" s="104">
        <f>VLOOKUP($B479,ma!$A:$C,3,0)</f>
        <v>800000</v>
      </c>
      <c r="Q479" s="108">
        <v>880000</v>
      </c>
      <c r="R479" s="109">
        <v>0.1</v>
      </c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spans="1:27" ht="14">
      <c r="A480" s="97">
        <f t="shared" si="71"/>
        <v>11</v>
      </c>
      <c r="B480" s="98" t="s">
        <v>1635</v>
      </c>
      <c r="C480" s="99" t="s">
        <v>14</v>
      </c>
      <c r="D480" s="100">
        <v>46191</v>
      </c>
      <c r="E480" s="99" t="str">
        <f>VLOOKUP($C480,xe!$A:$B,2,0)</f>
        <v>51H -88294</v>
      </c>
      <c r="F480" s="101" t="str">
        <f>VLOOKUP($B480,ma!$A:$B,2,0)</f>
        <v>JOLIBEE</v>
      </c>
      <c r="G480" s="102" t="s">
        <v>2039</v>
      </c>
      <c r="H480" s="103" t="s">
        <v>1949</v>
      </c>
      <c r="I480" s="104"/>
      <c r="J480" s="99"/>
      <c r="K480" s="106">
        <v>1.6</v>
      </c>
      <c r="L480" s="107">
        <f t="shared" si="72"/>
        <v>80000</v>
      </c>
      <c r="M480" s="104"/>
      <c r="N480" s="101"/>
      <c r="O480" s="101">
        <v>1</v>
      </c>
      <c r="P480" s="104">
        <f>VLOOKUP($B480,ma!$A:$C,3,0)</f>
        <v>900000</v>
      </c>
      <c r="Q480" s="108">
        <v>990000</v>
      </c>
      <c r="R480" s="109">
        <v>0.1</v>
      </c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spans="1:27" ht="14">
      <c r="A481" s="97">
        <f t="shared" si="71"/>
        <v>12</v>
      </c>
      <c r="B481" s="98" t="s">
        <v>2040</v>
      </c>
      <c r="C481" s="99" t="s">
        <v>1565</v>
      </c>
      <c r="D481" s="100">
        <v>46191</v>
      </c>
      <c r="E481" s="99" t="str">
        <f>VLOOKUP($C481,xe!$A:$B,2,0)</f>
        <v>50H-55116</v>
      </c>
      <c r="F481" s="101" t="str">
        <f>VLOOKUP($B481,ma!$A:$B,2,0)</f>
        <v>LAM TÂN T.ĐỨC ( K BX)</v>
      </c>
      <c r="G481" s="102" t="s">
        <v>2041</v>
      </c>
      <c r="H481" s="103" t="s">
        <v>1949</v>
      </c>
      <c r="I481" s="104"/>
      <c r="J481" s="99"/>
      <c r="K481" s="106">
        <v>1.4</v>
      </c>
      <c r="L481" s="107">
        <v>50000</v>
      </c>
      <c r="M481" s="104"/>
      <c r="N481" s="101"/>
      <c r="O481" s="101">
        <v>1</v>
      </c>
      <c r="P481" s="104">
        <f>VLOOKUP($B481,ma!$A:$C,3,0)</f>
        <v>800000</v>
      </c>
      <c r="Q481" s="108">
        <v>880000</v>
      </c>
      <c r="R481" s="109">
        <v>0.1</v>
      </c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spans="1:27" ht="14">
      <c r="A482" s="97">
        <f t="shared" si="71"/>
        <v>13</v>
      </c>
      <c r="B482" s="98" t="s">
        <v>2040</v>
      </c>
      <c r="C482" s="99" t="s">
        <v>26</v>
      </c>
      <c r="D482" s="100">
        <v>46191</v>
      </c>
      <c r="E482" s="99" t="str">
        <f>VLOOKUP($C482,xe!$A:$B,2,0)</f>
        <v>50H-55443</v>
      </c>
      <c r="F482" s="101" t="str">
        <f>VLOOKUP($B482,ma!$A:$B,2,0)</f>
        <v>LAM TÂN T.ĐỨC ( K BX)</v>
      </c>
      <c r="G482" s="102" t="s">
        <v>2042</v>
      </c>
      <c r="H482" s="103" t="s">
        <v>1949</v>
      </c>
      <c r="I482" s="104"/>
      <c r="J482" s="99"/>
      <c r="K482" s="106">
        <v>1.4</v>
      </c>
      <c r="L482" s="107">
        <v>50000</v>
      </c>
      <c r="M482" s="104"/>
      <c r="N482" s="101"/>
      <c r="O482" s="101">
        <v>1</v>
      </c>
      <c r="P482" s="104">
        <f>VLOOKUP($B482,ma!$A:$C,3,0)</f>
        <v>800000</v>
      </c>
      <c r="Q482" s="108">
        <v>880000</v>
      </c>
      <c r="R482" s="109">
        <v>0.1</v>
      </c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spans="1:27" ht="14">
      <c r="A483" s="97">
        <f t="shared" si="71"/>
        <v>14</v>
      </c>
      <c r="B483" s="98" t="s">
        <v>2043</v>
      </c>
      <c r="C483" s="99" t="s">
        <v>1717</v>
      </c>
      <c r="D483" s="100">
        <v>46191</v>
      </c>
      <c r="E483" s="99" t="str">
        <f>VLOOKUP($C483,xe!$A:$B,2,0)</f>
        <v>50E-164,61</v>
      </c>
      <c r="F483" s="101" t="str">
        <f>VLOOKUP($B483,ma!$A:$B,2,0)</f>
        <v>TA BAKER Q,12</v>
      </c>
      <c r="G483" s="102" t="s">
        <v>2044</v>
      </c>
      <c r="H483" s="103" t="s">
        <v>1949</v>
      </c>
      <c r="I483" s="104"/>
      <c r="J483" s="99"/>
      <c r="K483" s="106">
        <v>1.6</v>
      </c>
      <c r="L483" s="107">
        <f t="shared" ref="L483:L515" si="73">K483*50000</f>
        <v>80000</v>
      </c>
      <c r="M483" s="104"/>
      <c r="N483" s="101"/>
      <c r="O483" s="101">
        <v>1</v>
      </c>
      <c r="P483" s="104">
        <f>VLOOKUP($B483,ma!$A:$C,3,0)</f>
        <v>800000</v>
      </c>
      <c r="Q483" s="108">
        <v>880000</v>
      </c>
      <c r="R483" s="109">
        <v>0.1</v>
      </c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spans="1:27" ht="14">
      <c r="A484" s="97">
        <f t="shared" si="71"/>
        <v>15</v>
      </c>
      <c r="B484" s="98" t="s">
        <v>2043</v>
      </c>
      <c r="C484" s="99" t="s">
        <v>56</v>
      </c>
      <c r="D484" s="100">
        <v>46191</v>
      </c>
      <c r="E484" s="99" t="e">
        <f>VLOOKUP($C484,xe!$A:$B,2,0)</f>
        <v>#N/A</v>
      </c>
      <c r="F484" s="101" t="str">
        <f>VLOOKUP($B484,ma!$A:$B,2,0)</f>
        <v>TA BAKER Q,12</v>
      </c>
      <c r="G484" s="102" t="s">
        <v>2045</v>
      </c>
      <c r="H484" s="103" t="s">
        <v>1949</v>
      </c>
      <c r="I484" s="104"/>
      <c r="J484" s="99"/>
      <c r="K484" s="106">
        <v>1.4</v>
      </c>
      <c r="L484" s="107">
        <f t="shared" si="73"/>
        <v>70000</v>
      </c>
      <c r="M484" s="104"/>
      <c r="N484" s="101"/>
      <c r="O484" s="101">
        <v>1</v>
      </c>
      <c r="P484" s="104">
        <f>VLOOKUP($B484,ma!$A:$C,3,0)</f>
        <v>800000</v>
      </c>
      <c r="Q484" s="108">
        <v>880000</v>
      </c>
      <c r="R484" s="109">
        <v>0.1</v>
      </c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spans="1:27" ht="14">
      <c r="A485" s="97">
        <f t="shared" si="71"/>
        <v>16</v>
      </c>
      <c r="B485" s="98" t="s">
        <v>2046</v>
      </c>
      <c r="C485" s="99" t="s">
        <v>1570</v>
      </c>
      <c r="D485" s="100">
        <v>46191</v>
      </c>
      <c r="E485" s="99" t="str">
        <f>VLOOKUP($C485,xe!$A:$B,2,0)</f>
        <v>50H-66445</v>
      </c>
      <c r="F485" s="101" t="str">
        <f>VLOOKUP($B485,ma!$A:$B,2,0)</f>
        <v>HOÁ DƯỢC QUỐC TẾ SG ( KBX )</v>
      </c>
      <c r="G485" s="102" t="s">
        <v>2047</v>
      </c>
      <c r="H485" s="103" t="s">
        <v>1949</v>
      </c>
      <c r="I485" s="104"/>
      <c r="J485" s="99"/>
      <c r="K485" s="106">
        <v>1</v>
      </c>
      <c r="L485" s="107">
        <f t="shared" si="73"/>
        <v>50000</v>
      </c>
      <c r="M485" s="104"/>
      <c r="N485" s="101"/>
      <c r="O485" s="101">
        <v>1</v>
      </c>
      <c r="P485" s="104">
        <f>VLOOKUP($B485,ma!$A:$C,3,0)</f>
        <v>800000</v>
      </c>
      <c r="Q485" s="108">
        <v>880000</v>
      </c>
      <c r="R485" s="109">
        <v>0.1</v>
      </c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spans="1:27" ht="14">
      <c r="A486" s="97">
        <f t="shared" si="71"/>
        <v>17</v>
      </c>
      <c r="B486" s="98" t="s">
        <v>2048</v>
      </c>
      <c r="C486" s="99" t="s">
        <v>1554</v>
      </c>
      <c r="D486" s="100">
        <v>46191</v>
      </c>
      <c r="E486" s="99" t="str">
        <f>VLOOKUP($C486,xe!$A:$B,2,0)</f>
        <v>50H-63174</v>
      </c>
      <c r="F486" s="101" t="str">
        <f>VLOOKUP($B486,ma!$A:$B,2,0)</f>
        <v>HOÁ CHẤT VIỆT MỸ</v>
      </c>
      <c r="G486" s="102" t="s">
        <v>2049</v>
      </c>
      <c r="H486" s="103" t="s">
        <v>1949</v>
      </c>
      <c r="I486" s="104"/>
      <c r="J486" s="99"/>
      <c r="K486" s="106">
        <v>1.6</v>
      </c>
      <c r="L486" s="107">
        <f t="shared" si="73"/>
        <v>80000</v>
      </c>
      <c r="M486" s="104"/>
      <c r="N486" s="101"/>
      <c r="O486" s="101">
        <v>1</v>
      </c>
      <c r="P486" s="104">
        <f>VLOOKUP($B486,ma!$A:$C,3,0)</f>
        <v>800000</v>
      </c>
      <c r="Q486" s="108">
        <v>880000</v>
      </c>
      <c r="R486" s="109">
        <v>0.1</v>
      </c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spans="1:27" ht="14">
      <c r="A487" s="97">
        <f t="shared" si="71"/>
        <v>18</v>
      </c>
      <c r="B487" s="98" t="s">
        <v>2048</v>
      </c>
      <c r="C487" s="99" t="s">
        <v>1846</v>
      </c>
      <c r="D487" s="100">
        <v>46191</v>
      </c>
      <c r="E487" s="99" t="str">
        <f>VLOOKUP($C487,xe!$A:$B,2,0)</f>
        <v>50H-50999</v>
      </c>
      <c r="F487" s="101" t="str">
        <f>VLOOKUP($B487,ma!$A:$B,2,0)</f>
        <v>HOÁ CHẤT VIỆT MỸ</v>
      </c>
      <c r="G487" s="102" t="s">
        <v>2050</v>
      </c>
      <c r="H487" s="103" t="s">
        <v>1949</v>
      </c>
      <c r="I487" s="104"/>
      <c r="J487" s="99"/>
      <c r="K487" s="106">
        <v>1.8</v>
      </c>
      <c r="L487" s="107">
        <f t="shared" si="73"/>
        <v>90000</v>
      </c>
      <c r="M487" s="104"/>
      <c r="N487" s="101"/>
      <c r="O487" s="101">
        <v>1</v>
      </c>
      <c r="P487" s="104">
        <f>VLOOKUP($B487,ma!$A:$C,3,0)</f>
        <v>800000</v>
      </c>
      <c r="Q487" s="108">
        <v>880000</v>
      </c>
      <c r="R487" s="109">
        <v>0.1</v>
      </c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spans="1:27" ht="14">
      <c r="A488" s="97">
        <f t="shared" si="71"/>
        <v>19</v>
      </c>
      <c r="B488" s="98" t="s">
        <v>2048</v>
      </c>
      <c r="C488" s="99" t="s">
        <v>1974</v>
      </c>
      <c r="D488" s="100">
        <v>46191</v>
      </c>
      <c r="E488" s="114" t="e">
        <f>VLOOKUP($C488,xe!$A:$B,2,0)</f>
        <v>#N/A</v>
      </c>
      <c r="F488" s="101" t="str">
        <f>VLOOKUP($B488,ma!$A:$B,2,0)</f>
        <v>HOÁ CHẤT VIỆT MỸ</v>
      </c>
      <c r="G488" s="102" t="s">
        <v>2051</v>
      </c>
      <c r="H488" s="103" t="s">
        <v>1949</v>
      </c>
      <c r="I488" s="104"/>
      <c r="J488" s="99"/>
      <c r="K488" s="106"/>
      <c r="L488" s="107">
        <f t="shared" si="73"/>
        <v>0</v>
      </c>
      <c r="M488" s="104"/>
      <c r="N488" s="101"/>
      <c r="O488" s="101">
        <v>1</v>
      </c>
      <c r="P488" s="104">
        <f>VLOOKUP($B488,ma!$A:$C,3,0)</f>
        <v>800000</v>
      </c>
      <c r="Q488" s="108">
        <v>880000</v>
      </c>
      <c r="R488" s="109">
        <v>0.1</v>
      </c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spans="1:27" ht="14">
      <c r="A489" s="97">
        <f t="shared" si="71"/>
        <v>20</v>
      </c>
      <c r="B489" s="98" t="s">
        <v>2052</v>
      </c>
      <c r="C489" s="99" t="s">
        <v>1582</v>
      </c>
      <c r="D489" s="100">
        <v>46191</v>
      </c>
      <c r="E489" s="99" t="e">
        <f>VLOOKUP($C489,xe!$A:$B,2,0)</f>
        <v>#N/A</v>
      </c>
      <c r="F489" s="101" t="str">
        <f>VLOOKUP($B489,ma!$A:$B,2,0)</f>
        <v>VƯƠNG TƯỜNG VÂN</v>
      </c>
      <c r="G489" s="102" t="s">
        <v>2053</v>
      </c>
      <c r="H489" s="103" t="s">
        <v>1949</v>
      </c>
      <c r="I489" s="104"/>
      <c r="J489" s="99"/>
      <c r="K489" s="106">
        <v>1.2</v>
      </c>
      <c r="L489" s="107">
        <f t="shared" si="73"/>
        <v>60000</v>
      </c>
      <c r="M489" s="104">
        <v>50000</v>
      </c>
      <c r="N489" s="101" t="s">
        <v>1953</v>
      </c>
      <c r="O489" s="101">
        <v>1</v>
      </c>
      <c r="P489" s="104">
        <f>VLOOKUP($B489,ma!$A:$C,3,0)</f>
        <v>800000</v>
      </c>
      <c r="Q489" s="108">
        <v>880000</v>
      </c>
      <c r="R489" s="109">
        <v>0.1</v>
      </c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spans="1:27" ht="14">
      <c r="A490" s="97">
        <f t="shared" si="71"/>
        <v>21</v>
      </c>
      <c r="B490" s="98" t="s">
        <v>2052</v>
      </c>
      <c r="C490" s="99" t="s">
        <v>16</v>
      </c>
      <c r="D490" s="100">
        <v>46191</v>
      </c>
      <c r="E490" s="99" t="str">
        <f>VLOOKUP($C490,xe!$A:$B,2,0)</f>
        <v>50H-74619</v>
      </c>
      <c r="F490" s="101" t="str">
        <f>VLOOKUP($B490,ma!$A:$B,2,0)</f>
        <v>VƯƠNG TƯỜNG VÂN</v>
      </c>
      <c r="G490" s="102" t="s">
        <v>2054</v>
      </c>
      <c r="H490" s="103" t="s">
        <v>1949</v>
      </c>
      <c r="I490" s="104"/>
      <c r="J490" s="99"/>
      <c r="K490" s="106">
        <v>1.2</v>
      </c>
      <c r="L490" s="107">
        <f t="shared" si="73"/>
        <v>60000</v>
      </c>
      <c r="M490" s="104"/>
      <c r="N490" s="101"/>
      <c r="O490" s="101">
        <v>1</v>
      </c>
      <c r="P490" s="104">
        <f>VLOOKUP($B490,ma!$A:$C,3,0)</f>
        <v>800000</v>
      </c>
      <c r="Q490" s="108">
        <v>880000</v>
      </c>
      <c r="R490" s="109">
        <v>0.1</v>
      </c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spans="1:27" ht="14">
      <c r="A491" s="97">
        <f t="shared" si="71"/>
        <v>22</v>
      </c>
      <c r="B491" s="98" t="s">
        <v>2055</v>
      </c>
      <c r="C491" s="99" t="s">
        <v>1695</v>
      </c>
      <c r="D491" s="100">
        <v>46191</v>
      </c>
      <c r="E491" s="99" t="str">
        <f>VLOOKUP($C491,xe!$A:$B,2,0)</f>
        <v>50H-64316</v>
      </c>
      <c r="F491" s="101" t="str">
        <f>VLOOKUP($B491,ma!$A:$B,2,0)</f>
        <v xml:space="preserve">R&amp;B FOOD </v>
      </c>
      <c r="G491" s="102"/>
      <c r="H491" s="103"/>
      <c r="I491" s="104"/>
      <c r="J491" s="99"/>
      <c r="K491" s="106"/>
      <c r="L491" s="107">
        <f t="shared" si="73"/>
        <v>0</v>
      </c>
      <c r="M491" s="104"/>
      <c r="N491" s="101"/>
      <c r="O491" s="101">
        <v>1</v>
      </c>
      <c r="P491" s="104">
        <f>VLOOKUP($B491,ma!$A:$C,3,0)</f>
        <v>800000</v>
      </c>
      <c r="Q491" s="108">
        <v>880000</v>
      </c>
      <c r="R491" s="109">
        <v>0.1</v>
      </c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spans="1:27" ht="14">
      <c r="A492" s="97">
        <f t="shared" si="71"/>
        <v>23</v>
      </c>
      <c r="B492" s="98" t="s">
        <v>1707</v>
      </c>
      <c r="C492" s="99" t="s">
        <v>2056</v>
      </c>
      <c r="D492" s="100">
        <v>46191</v>
      </c>
      <c r="E492" s="99" t="str">
        <f>VLOOKUP($C492,xe!$A:$B,2,0)</f>
        <v>50H-55443</v>
      </c>
      <c r="F492" s="101" t="str">
        <f>VLOOKUP($B492,ma!$A:$B,2,0)</f>
        <v>XUÂN VÂN ( K BX )</v>
      </c>
      <c r="G492" s="102" t="s">
        <v>2057</v>
      </c>
      <c r="H492" s="103" t="s">
        <v>1949</v>
      </c>
      <c r="I492" s="104"/>
      <c r="J492" s="99"/>
      <c r="K492" s="106">
        <v>2</v>
      </c>
      <c r="L492" s="107">
        <f t="shared" si="73"/>
        <v>100000</v>
      </c>
      <c r="M492" s="104"/>
      <c r="N492" s="101"/>
      <c r="O492" s="101">
        <v>1</v>
      </c>
      <c r="P492" s="104">
        <f>VLOOKUP($B492,ma!$A:$C,3,0)</f>
        <v>800000</v>
      </c>
      <c r="Q492" s="108">
        <v>880000</v>
      </c>
      <c r="R492" s="109">
        <v>0.1</v>
      </c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spans="1:27" ht="14">
      <c r="A493" s="97">
        <f t="shared" si="71"/>
        <v>24</v>
      </c>
      <c r="B493" s="98" t="s">
        <v>89</v>
      </c>
      <c r="C493" s="99" t="s">
        <v>63</v>
      </c>
      <c r="D493" s="100">
        <v>46191</v>
      </c>
      <c r="E493" s="99" t="e">
        <f>VLOOKUP($C493,xe!$A:$B,2,0)</f>
        <v>#N/A</v>
      </c>
      <c r="F493" s="101" t="str">
        <f>VLOOKUP($B493,ma!$A:$B,2,0)</f>
        <v>CALOFIC - UNI ( xe nhỏ )</v>
      </c>
      <c r="G493" s="102" t="s">
        <v>2058</v>
      </c>
      <c r="H493" s="103" t="s">
        <v>1949</v>
      </c>
      <c r="I493" s="104"/>
      <c r="J493" s="99"/>
      <c r="K493" s="106">
        <v>2</v>
      </c>
      <c r="L493" s="107">
        <f t="shared" si="73"/>
        <v>100000</v>
      </c>
      <c r="M493" s="104"/>
      <c r="N493" s="101"/>
      <c r="O493" s="101">
        <v>1</v>
      </c>
      <c r="P493" s="104">
        <f>VLOOKUP($B493,ma!$A:$C,3,0)</f>
        <v>300000</v>
      </c>
      <c r="Q493" s="108">
        <v>330000</v>
      </c>
      <c r="R493" s="109">
        <v>0.1</v>
      </c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spans="1:27" ht="14">
      <c r="A494" s="97">
        <f t="shared" si="71"/>
        <v>25</v>
      </c>
      <c r="B494" s="98" t="s">
        <v>1621</v>
      </c>
      <c r="C494" s="99" t="s">
        <v>63</v>
      </c>
      <c r="D494" s="100">
        <v>46191</v>
      </c>
      <c r="E494" s="99" t="e">
        <f>VLOOKUP($C494,xe!$A:$B,2,0)</f>
        <v>#N/A</v>
      </c>
      <c r="F494" s="101" t="str">
        <f>VLOOKUP($B494,ma!$A:$B,2,0)</f>
        <v>PHONG VÂN - GÒ VẤP ( K BX )</v>
      </c>
      <c r="G494" s="102"/>
      <c r="H494" s="103"/>
      <c r="I494" s="104"/>
      <c r="J494" s="126" t="s">
        <v>1520</v>
      </c>
      <c r="K494" s="106">
        <v>1.6</v>
      </c>
      <c r="L494" s="107">
        <f t="shared" si="73"/>
        <v>80000</v>
      </c>
      <c r="M494" s="104"/>
      <c r="N494" s="101"/>
      <c r="O494" s="101">
        <v>1</v>
      </c>
      <c r="P494" s="104">
        <f>VLOOKUP($B494,ma!$A:$C,3,0)</f>
        <v>800000</v>
      </c>
      <c r="Q494" s="108">
        <v>880000</v>
      </c>
      <c r="R494" s="109">
        <v>0.1</v>
      </c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spans="1:27" ht="14">
      <c r="A495" s="97">
        <f t="shared" si="71"/>
        <v>26</v>
      </c>
      <c r="B495" s="98" t="s">
        <v>1761</v>
      </c>
      <c r="C495" s="99" t="s">
        <v>1509</v>
      </c>
      <c r="D495" s="100">
        <v>46191</v>
      </c>
      <c r="E495" s="99" t="str">
        <f>VLOOKUP($C495,xe!$A:$B,2,0)</f>
        <v>50H-70216</v>
      </c>
      <c r="F495" s="101" t="str">
        <f>VLOOKUP($B495,ma!$A:$B,2,0)</f>
        <v>VĂN HẬU CỦ CHI</v>
      </c>
      <c r="G495" s="102" t="s">
        <v>1499</v>
      </c>
      <c r="H495" s="103" t="s">
        <v>1499</v>
      </c>
      <c r="I495" s="104"/>
      <c r="J495" s="99"/>
      <c r="K495" s="106"/>
      <c r="L495" s="107">
        <f t="shared" si="73"/>
        <v>0</v>
      </c>
      <c r="M495" s="104"/>
      <c r="N495" s="101"/>
      <c r="O495" s="101">
        <v>1</v>
      </c>
      <c r="P495" s="104">
        <f>VLOOKUP($B495,ma!$A:$C,3,0)</f>
        <v>900000</v>
      </c>
      <c r="Q495" s="108">
        <v>990000</v>
      </c>
      <c r="R495" s="109">
        <v>0.1</v>
      </c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spans="1:27" ht="14">
      <c r="A496" s="97">
        <f t="shared" si="71"/>
        <v>27</v>
      </c>
      <c r="B496" s="98" t="s">
        <v>1497</v>
      </c>
      <c r="C496" s="99" t="s">
        <v>1505</v>
      </c>
      <c r="D496" s="100">
        <v>46191</v>
      </c>
      <c r="E496" s="99" t="str">
        <f>VLOOKUP($C496,xe!$A:$B,2,0)</f>
        <v>50H 87442</v>
      </c>
      <c r="F496" s="101" t="str">
        <f>VLOOKUP($B496,ma!$A:$B,2,0)</f>
        <v>VĂN HẬU Q8 ( K BX )</v>
      </c>
      <c r="G496" s="102" t="s">
        <v>1499</v>
      </c>
      <c r="H496" s="103" t="s">
        <v>1499</v>
      </c>
      <c r="I496" s="104"/>
      <c r="J496" s="99"/>
      <c r="K496" s="106"/>
      <c r="L496" s="107">
        <f t="shared" si="73"/>
        <v>0</v>
      </c>
      <c r="M496" s="104"/>
      <c r="N496" s="101"/>
      <c r="O496" s="101">
        <v>1</v>
      </c>
      <c r="P496" s="104">
        <f>VLOOKUP($B496,ma!$A:$C,3,0)</f>
        <v>800000</v>
      </c>
      <c r="Q496" s="108">
        <v>880000</v>
      </c>
      <c r="R496" s="109">
        <v>0.1</v>
      </c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spans="1:27" ht="14">
      <c r="A497" s="97">
        <f t="shared" si="71"/>
        <v>28</v>
      </c>
      <c r="B497" s="98" t="s">
        <v>1507</v>
      </c>
      <c r="C497" s="99" t="s">
        <v>28</v>
      </c>
      <c r="D497" s="100">
        <v>46191</v>
      </c>
      <c r="E497" s="99" t="str">
        <f>VLOOKUP($C497,xe!$A:$B,2,0)</f>
        <v>50H-54580</v>
      </c>
      <c r="F497" s="101" t="str">
        <f>VLOOKUP($B497,ma!$A:$B,2,0)</f>
        <v>BHX NHÀ BÈ</v>
      </c>
      <c r="G497" s="102"/>
      <c r="H497" s="103"/>
      <c r="I497" s="104"/>
      <c r="J497" s="105" t="s">
        <v>97</v>
      </c>
      <c r="K497" s="106">
        <v>1.2</v>
      </c>
      <c r="L497" s="107">
        <f t="shared" si="73"/>
        <v>60000</v>
      </c>
      <c r="M497" s="104"/>
      <c r="N497" s="101"/>
      <c r="O497" s="101">
        <v>1</v>
      </c>
      <c r="P497" s="104">
        <f>VLOOKUP($B497,ma!$A:$C,3,0)</f>
        <v>400000</v>
      </c>
      <c r="Q497" s="108">
        <v>440000</v>
      </c>
      <c r="R497" s="109">
        <v>0.1</v>
      </c>
      <c r="S497" s="111"/>
      <c r="T497" s="111"/>
      <c r="U497" s="111"/>
      <c r="V497" s="111"/>
      <c r="W497" s="111"/>
      <c r="X497" s="111"/>
      <c r="Y497" s="111"/>
      <c r="Z497" s="111"/>
      <c r="AA497" s="111"/>
    </row>
    <row r="498" spans="1:27" ht="14">
      <c r="A498" s="97">
        <f t="shared" si="71"/>
        <v>29</v>
      </c>
      <c r="B498" s="98" t="s">
        <v>1507</v>
      </c>
      <c r="C498" s="99" t="s">
        <v>6</v>
      </c>
      <c r="D498" s="100">
        <v>46191</v>
      </c>
      <c r="E498" s="99" t="str">
        <f>VLOOKUP($C498,xe!$A:$B,2,0)</f>
        <v>50H-69501</v>
      </c>
      <c r="F498" s="101" t="str">
        <f>VLOOKUP($B498,ma!$A:$B,2,0)</f>
        <v>BHX NHÀ BÈ</v>
      </c>
      <c r="G498" s="102"/>
      <c r="H498" s="103"/>
      <c r="I498" s="104"/>
      <c r="J498" s="105" t="s">
        <v>465</v>
      </c>
      <c r="K498" s="106">
        <v>1.2</v>
      </c>
      <c r="L498" s="107">
        <f t="shared" si="73"/>
        <v>60000</v>
      </c>
      <c r="M498" s="104"/>
      <c r="N498" s="101"/>
      <c r="O498" s="101">
        <v>1</v>
      </c>
      <c r="P498" s="104">
        <f>VLOOKUP($B498,ma!$A:$C,3,0)</f>
        <v>400000</v>
      </c>
      <c r="Q498" s="108">
        <v>440000</v>
      </c>
      <c r="R498" s="109">
        <v>0.1</v>
      </c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spans="1:27" ht="14">
      <c r="A499" s="97">
        <f t="shared" si="71"/>
        <v>30</v>
      </c>
      <c r="B499" s="98" t="s">
        <v>1487</v>
      </c>
      <c r="C499" s="99" t="s">
        <v>54</v>
      </c>
      <c r="D499" s="100">
        <v>46191</v>
      </c>
      <c r="E499" s="99" t="e">
        <f>VLOOKUP($C499,xe!$A:$B,2,0)</f>
        <v>#N/A</v>
      </c>
      <c r="F499" s="101" t="str">
        <f>VLOOKUP($B499,ma!$A:$B,2,0)</f>
        <v>SATRA SÀI GÒN</v>
      </c>
      <c r="G499" s="102"/>
      <c r="H499" s="103"/>
      <c r="I499" s="104"/>
      <c r="J499" s="99"/>
      <c r="K499" s="106"/>
      <c r="L499" s="107">
        <f t="shared" si="73"/>
        <v>0</v>
      </c>
      <c r="M499" s="104"/>
      <c r="N499" s="101"/>
      <c r="O499" s="101">
        <v>1</v>
      </c>
      <c r="P499" s="104">
        <f>VLOOKUP($B499,ma!$A:$C,3,0)</f>
        <v>800000</v>
      </c>
      <c r="Q499" s="108">
        <v>880000</v>
      </c>
      <c r="R499" s="109">
        <v>0.1</v>
      </c>
      <c r="S499" s="111"/>
      <c r="T499" s="111"/>
      <c r="U499" s="111"/>
      <c r="V499" s="111"/>
      <c r="W499" s="111"/>
      <c r="X499" s="111"/>
      <c r="Y499" s="111"/>
      <c r="Z499" s="111"/>
      <c r="AA499" s="111"/>
    </row>
    <row r="500" spans="1:27" ht="14">
      <c r="A500" s="97">
        <f t="shared" si="71"/>
        <v>31</v>
      </c>
      <c r="B500" s="98" t="s">
        <v>1857</v>
      </c>
      <c r="C500" s="99" t="s">
        <v>62</v>
      </c>
      <c r="D500" s="100">
        <v>46191</v>
      </c>
      <c r="E500" s="114" t="e">
        <f>VLOOKUP($C500,xe!$A:$B,2,0)</f>
        <v>#N/A</v>
      </c>
      <c r="F500" s="101" t="str">
        <f>VLOOKUP($B500,ma!$A:$B,2,0)</f>
        <v>BC NEW CTY</v>
      </c>
      <c r="G500" s="102"/>
      <c r="H500" s="103"/>
      <c r="I500" s="104"/>
      <c r="J500" s="99"/>
      <c r="K500" s="106"/>
      <c r="L500" s="107">
        <f t="shared" si="73"/>
        <v>0</v>
      </c>
      <c r="M500" s="104"/>
      <c r="N500" s="101"/>
      <c r="O500" s="101">
        <v>1</v>
      </c>
      <c r="P500" s="104">
        <f>VLOOKUP($B500,ma!$A:$C,3,0)</f>
        <v>800000</v>
      </c>
      <c r="Q500" s="108">
        <v>880000</v>
      </c>
      <c r="R500" s="109">
        <v>0.1</v>
      </c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spans="1:27" ht="14">
      <c r="A501" s="97">
        <f t="shared" si="71"/>
        <v>32</v>
      </c>
      <c r="B501" s="98" t="s">
        <v>1857</v>
      </c>
      <c r="C501" s="99" t="s">
        <v>30</v>
      </c>
      <c r="D501" s="100">
        <v>46191</v>
      </c>
      <c r="E501" s="99" t="str">
        <f>VLOOKUP($C501,xe!$A:$B,2,0)</f>
        <v>50H-63174</v>
      </c>
      <c r="F501" s="101" t="str">
        <f>VLOOKUP($B501,ma!$A:$B,2,0)</f>
        <v>BC NEW CTY</v>
      </c>
      <c r="G501" s="102"/>
      <c r="H501" s="103"/>
      <c r="I501" s="104"/>
      <c r="J501" s="99"/>
      <c r="K501" s="106"/>
      <c r="L501" s="107">
        <f t="shared" si="73"/>
        <v>0</v>
      </c>
      <c r="M501" s="104"/>
      <c r="N501" s="101"/>
      <c r="O501" s="101">
        <v>1</v>
      </c>
      <c r="P501" s="104">
        <f>VLOOKUP($B501,ma!$A:$C,3,0)</f>
        <v>800000</v>
      </c>
      <c r="Q501" s="108">
        <v>880000</v>
      </c>
      <c r="R501" s="109">
        <v>0.1</v>
      </c>
      <c r="S501" s="111"/>
      <c r="T501" s="111"/>
      <c r="U501" s="111"/>
      <c r="V501" s="111"/>
      <c r="W501" s="111"/>
      <c r="X501" s="111"/>
      <c r="Y501" s="111"/>
      <c r="Z501" s="111"/>
      <c r="AA501" s="111"/>
    </row>
    <row r="502" spans="1:27" ht="14">
      <c r="A502" s="97">
        <f t="shared" si="71"/>
        <v>33</v>
      </c>
      <c r="B502" s="98" t="s">
        <v>1647</v>
      </c>
      <c r="C502" s="99" t="s">
        <v>14</v>
      </c>
      <c r="D502" s="100">
        <v>46191</v>
      </c>
      <c r="E502" s="99" t="str">
        <f>VLOOKUP($C502,xe!$A:$B,2,0)</f>
        <v>51H -88294</v>
      </c>
      <c r="F502" s="101" t="str">
        <f>VLOOKUP($B502,ma!$A:$B,2,0)</f>
        <v>BHX ( TĐN)</v>
      </c>
      <c r="G502" s="102"/>
      <c r="H502" s="103"/>
      <c r="I502" s="104"/>
      <c r="J502" s="99"/>
      <c r="K502" s="106"/>
      <c r="L502" s="107">
        <f t="shared" si="73"/>
        <v>0</v>
      </c>
      <c r="M502" s="104"/>
      <c r="N502" s="101"/>
      <c r="O502" s="101">
        <v>1</v>
      </c>
      <c r="P502" s="104">
        <f>VLOOKUP($B502,ma!$A:$C,3,0)</f>
        <v>800000</v>
      </c>
      <c r="Q502" s="108">
        <v>880000</v>
      </c>
      <c r="R502" s="109">
        <v>0.1</v>
      </c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spans="1:27" ht="14">
      <c r="A503" s="97">
        <f t="shared" si="71"/>
        <v>34</v>
      </c>
      <c r="B503" s="98" t="s">
        <v>1647</v>
      </c>
      <c r="C503" s="99" t="s">
        <v>1509</v>
      </c>
      <c r="D503" s="100">
        <v>46191</v>
      </c>
      <c r="E503" s="99" t="str">
        <f>VLOOKUP($C503,xe!$A:$B,2,0)</f>
        <v>50H-70216</v>
      </c>
      <c r="F503" s="101" t="str">
        <f>VLOOKUP($B503,ma!$A:$B,2,0)</f>
        <v>BHX ( TĐN)</v>
      </c>
      <c r="G503" s="102"/>
      <c r="H503" s="103"/>
      <c r="I503" s="104"/>
      <c r="J503" s="99"/>
      <c r="K503" s="106"/>
      <c r="L503" s="107">
        <f t="shared" si="73"/>
        <v>0</v>
      </c>
      <c r="M503" s="104"/>
      <c r="N503" s="101"/>
      <c r="O503" s="101">
        <v>1</v>
      </c>
      <c r="P503" s="104">
        <f>VLOOKUP($B503,ma!$A:$C,3,0)</f>
        <v>800000</v>
      </c>
      <c r="Q503" s="108">
        <v>880000</v>
      </c>
      <c r="R503" s="109">
        <v>0.1</v>
      </c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spans="1:27" ht="14">
      <c r="A504" s="97">
        <f t="shared" si="71"/>
        <v>35</v>
      </c>
      <c r="B504" s="98" t="s">
        <v>1647</v>
      </c>
      <c r="C504" s="99" t="s">
        <v>1565</v>
      </c>
      <c r="D504" s="100">
        <v>46191</v>
      </c>
      <c r="E504" s="99" t="str">
        <f>VLOOKUP($C504,xe!$A:$B,2,0)</f>
        <v>50H-55116</v>
      </c>
      <c r="F504" s="101" t="str">
        <f>VLOOKUP($B504,ma!$A:$B,2,0)</f>
        <v>BHX ( TĐN)</v>
      </c>
      <c r="G504" s="102"/>
      <c r="H504" s="103"/>
      <c r="I504" s="104"/>
      <c r="J504" s="99"/>
      <c r="K504" s="106"/>
      <c r="L504" s="107">
        <f t="shared" si="73"/>
        <v>0</v>
      </c>
      <c r="M504" s="104"/>
      <c r="N504" s="101"/>
      <c r="O504" s="101">
        <v>1</v>
      </c>
      <c r="P504" s="104">
        <f>VLOOKUP($B504,ma!$A:$C,3,0)</f>
        <v>800000</v>
      </c>
      <c r="Q504" s="108">
        <v>880000</v>
      </c>
      <c r="R504" s="109">
        <v>0.1</v>
      </c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spans="1:27" ht="14">
      <c r="A505" s="97">
        <f t="shared" si="71"/>
        <v>36</v>
      </c>
      <c r="B505" s="98" t="s">
        <v>1710</v>
      </c>
      <c r="C505" s="99" t="s">
        <v>24</v>
      </c>
      <c r="D505" s="100">
        <v>46191</v>
      </c>
      <c r="E505" s="99" t="str">
        <f>VLOOKUP($C505,xe!$A:$B,2,0)</f>
        <v>50H-55161</v>
      </c>
      <c r="F505" s="101" t="str">
        <f>VLOOKUP($B505,ma!$A:$B,2,0)</f>
        <v>M. BÌNH PHÚ</v>
      </c>
      <c r="G505" s="102"/>
      <c r="H505" s="103"/>
      <c r="I505" s="104"/>
      <c r="J505" s="99"/>
      <c r="K505" s="106"/>
      <c r="L505" s="107">
        <f t="shared" si="73"/>
        <v>0</v>
      </c>
      <c r="M505" s="104"/>
      <c r="N505" s="101"/>
      <c r="O505" s="101">
        <v>1</v>
      </c>
      <c r="P505" s="104">
        <f>VLOOKUP($B505,ma!$A:$C,3,0)</f>
        <v>800000</v>
      </c>
      <c r="Q505" s="108">
        <v>880000</v>
      </c>
      <c r="R505" s="109">
        <v>0.1</v>
      </c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spans="1:27" ht="14">
      <c r="A506" s="97">
        <f t="shared" si="71"/>
        <v>37</v>
      </c>
      <c r="B506" s="98" t="s">
        <v>1710</v>
      </c>
      <c r="C506" s="99" t="s">
        <v>8</v>
      </c>
      <c r="D506" s="100">
        <v>46191</v>
      </c>
      <c r="E506" s="99" t="str">
        <f>VLOOKUP($C506,xe!$A:$B,2,0)</f>
        <v>50H-64316</v>
      </c>
      <c r="F506" s="101" t="str">
        <f>VLOOKUP($B506,ma!$A:$B,2,0)</f>
        <v>M. BÌNH PHÚ</v>
      </c>
      <c r="G506" s="102"/>
      <c r="H506" s="103"/>
      <c r="I506" s="104"/>
      <c r="J506" s="99"/>
      <c r="K506" s="106"/>
      <c r="L506" s="107">
        <f t="shared" si="73"/>
        <v>0</v>
      </c>
      <c r="M506" s="104"/>
      <c r="N506" s="101"/>
      <c r="O506" s="101">
        <v>1</v>
      </c>
      <c r="P506" s="104">
        <f>VLOOKUP($B506,ma!$A:$C,3,0)</f>
        <v>800000</v>
      </c>
      <c r="Q506" s="108">
        <v>880000</v>
      </c>
      <c r="R506" s="109">
        <v>0.1</v>
      </c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spans="1:27" ht="14">
      <c r="A507" s="97">
        <f t="shared" si="71"/>
        <v>38</v>
      </c>
      <c r="B507" s="137" t="s">
        <v>507</v>
      </c>
      <c r="C507" s="99" t="s">
        <v>18</v>
      </c>
      <c r="D507" s="100">
        <v>46191</v>
      </c>
      <c r="E507" s="99" t="str">
        <f>VLOOKUP($C507,xe!$A:$B,2,0)</f>
        <v>50H 87442</v>
      </c>
      <c r="F507" s="101" t="str">
        <f>VLOOKUP($B507,ma!$A:$B,2,0)</f>
        <v>NEWCO 2</v>
      </c>
      <c r="G507" s="102"/>
      <c r="H507" s="103"/>
      <c r="I507" s="104"/>
      <c r="J507" s="99"/>
      <c r="K507" s="106"/>
      <c r="L507" s="107">
        <f t="shared" si="73"/>
        <v>0</v>
      </c>
      <c r="M507" s="104"/>
      <c r="N507" s="101"/>
      <c r="O507" s="101">
        <v>1</v>
      </c>
      <c r="P507" s="104">
        <f>VLOOKUP($B507,ma!$A:$C,3,0)</f>
        <v>800000</v>
      </c>
      <c r="Q507" s="108">
        <v>880000</v>
      </c>
      <c r="R507" s="109">
        <v>0.1</v>
      </c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spans="1:27" ht="14">
      <c r="A508" s="97">
        <f t="shared" si="71"/>
        <v>39</v>
      </c>
      <c r="B508" s="98" t="s">
        <v>1645</v>
      </c>
      <c r="C508" s="99" t="s">
        <v>1549</v>
      </c>
      <c r="D508" s="100">
        <v>46191</v>
      </c>
      <c r="E508" s="99" t="str">
        <f>VLOOKUP($C508,xe!$A:$B,2,0)</f>
        <v>50H-55443</v>
      </c>
      <c r="F508" s="101" t="str">
        <f>VLOOKUP($B508,ma!$A:$B,2,0)</f>
        <v>AEON RDC Q12</v>
      </c>
      <c r="G508" s="102"/>
      <c r="H508" s="103"/>
      <c r="I508" s="104"/>
      <c r="J508" s="105" t="s">
        <v>119</v>
      </c>
      <c r="K508" s="106">
        <v>1.6</v>
      </c>
      <c r="L508" s="107">
        <f t="shared" si="73"/>
        <v>80000</v>
      </c>
      <c r="M508" s="104"/>
      <c r="N508" s="101"/>
      <c r="O508" s="101">
        <v>1</v>
      </c>
      <c r="P508" s="104">
        <f>VLOOKUP($B508,ma!$A:$C,3,0)</f>
        <v>800000</v>
      </c>
      <c r="Q508" s="108">
        <v>880000</v>
      </c>
      <c r="R508" s="109">
        <v>0.1</v>
      </c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spans="1:27" ht="14">
      <c r="A509" s="97">
        <f t="shared" si="71"/>
        <v>40</v>
      </c>
      <c r="B509" s="98" t="s">
        <v>1645</v>
      </c>
      <c r="C509" s="99" t="s">
        <v>10</v>
      </c>
      <c r="D509" s="100">
        <v>46191</v>
      </c>
      <c r="E509" s="99" t="str">
        <f>VLOOKUP($C509,xe!$A:$B,2,0)</f>
        <v>50H-50999</v>
      </c>
      <c r="F509" s="101" t="str">
        <f>VLOOKUP($B509,ma!$A:$B,2,0)</f>
        <v>AEON RDC Q12</v>
      </c>
      <c r="G509" s="102"/>
      <c r="H509" s="103"/>
      <c r="I509" s="104"/>
      <c r="J509" s="105" t="s">
        <v>119</v>
      </c>
      <c r="K509" s="106">
        <v>1.6</v>
      </c>
      <c r="L509" s="107">
        <f t="shared" si="73"/>
        <v>80000</v>
      </c>
      <c r="M509" s="104"/>
      <c r="N509" s="101"/>
      <c r="O509" s="101">
        <v>1</v>
      </c>
      <c r="P509" s="104">
        <f>VLOOKUP($B509,ma!$A:$C,3,0)</f>
        <v>800000</v>
      </c>
      <c r="Q509" s="108">
        <v>880000</v>
      </c>
      <c r="R509" s="109">
        <v>0.1</v>
      </c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spans="1:27" ht="14">
      <c r="A510" s="97">
        <f t="shared" si="71"/>
        <v>41</v>
      </c>
      <c r="B510" s="98" t="s">
        <v>1055</v>
      </c>
      <c r="C510" s="99" t="s">
        <v>1572</v>
      </c>
      <c r="D510" s="100">
        <v>46191</v>
      </c>
      <c r="E510" s="99" t="str">
        <f>VLOOKUP($C510,xe!$A:$B,2,0)</f>
        <v>50H-69501</v>
      </c>
      <c r="F510" s="101" t="str">
        <f>VLOOKUP($B510,ma!$A:$B,2,0)</f>
        <v>COOP LÊ MINH XUÂN</v>
      </c>
      <c r="G510" s="102"/>
      <c r="H510" s="103"/>
      <c r="I510" s="104"/>
      <c r="J510" s="105" t="s">
        <v>465</v>
      </c>
      <c r="K510" s="106">
        <v>1.2</v>
      </c>
      <c r="L510" s="107">
        <f t="shared" si="73"/>
        <v>60000</v>
      </c>
      <c r="M510" s="104"/>
      <c r="N510" s="101"/>
      <c r="O510" s="101">
        <v>1</v>
      </c>
      <c r="P510" s="104">
        <f>VLOOKUP($B510,ma!$A:$C,3,0)</f>
        <v>800000</v>
      </c>
      <c r="Q510" s="108">
        <v>880000</v>
      </c>
      <c r="R510" s="109">
        <v>0.1</v>
      </c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spans="1:27" ht="14">
      <c r="A511" s="116">
        <v>1</v>
      </c>
      <c r="B511" s="117" t="s">
        <v>1612</v>
      </c>
      <c r="C511" s="118" t="s">
        <v>1570</v>
      </c>
      <c r="D511" s="119">
        <v>46192</v>
      </c>
      <c r="E511" s="118" t="str">
        <f>VLOOKUP($C511,xe!$A:$B,2,0)</f>
        <v>50H-66445</v>
      </c>
      <c r="F511" s="120" t="str">
        <f>VLOOKUP($B511,ma!$A:$B,2,0)</f>
        <v>E MART SALA</v>
      </c>
      <c r="G511" s="121"/>
      <c r="H511" s="122"/>
      <c r="I511" s="123"/>
      <c r="J511" s="105" t="s">
        <v>2059</v>
      </c>
      <c r="K511" s="124">
        <v>1</v>
      </c>
      <c r="L511" s="125">
        <f t="shared" si="73"/>
        <v>50000</v>
      </c>
      <c r="M511" s="123"/>
      <c r="N511" s="120"/>
      <c r="O511" s="120">
        <v>1</v>
      </c>
      <c r="P511" s="123">
        <f>VLOOKUP($B511,ma!$A:$C,3,0)</f>
        <v>800000</v>
      </c>
      <c r="Q511" s="108">
        <v>500000</v>
      </c>
      <c r="R511" s="138">
        <v>7.5999999999999998E-2</v>
      </c>
      <c r="S511" s="111"/>
      <c r="T511" s="111"/>
      <c r="U511" s="111"/>
      <c r="V511" s="111"/>
      <c r="W511" s="111"/>
      <c r="X511" s="111"/>
      <c r="Y511" s="111"/>
      <c r="Z511" s="111"/>
      <c r="AA511" s="111"/>
    </row>
    <row r="512" spans="1:27" ht="14">
      <c r="A512" s="97">
        <f t="shared" ref="A512:A547" si="74">A511+1</f>
        <v>2</v>
      </c>
      <c r="B512" s="98" t="s">
        <v>1612</v>
      </c>
      <c r="C512" s="99" t="s">
        <v>58</v>
      </c>
      <c r="D512" s="100">
        <v>46192</v>
      </c>
      <c r="E512" s="99" t="e">
        <f>VLOOKUP($C512,xe!$A:$B,2,0)</f>
        <v>#N/A</v>
      </c>
      <c r="F512" s="101" t="str">
        <f>VLOOKUP($B512,ma!$A:$B,2,0)</f>
        <v>E MART SALA</v>
      </c>
      <c r="G512" s="102"/>
      <c r="H512" s="103"/>
      <c r="I512" s="104"/>
      <c r="J512" s="139" t="s">
        <v>2060</v>
      </c>
      <c r="K512" s="106">
        <v>2.2000000000000002</v>
      </c>
      <c r="L512" s="107">
        <f t="shared" si="73"/>
        <v>110000.00000000001</v>
      </c>
      <c r="M512" s="104"/>
      <c r="N512" s="101"/>
      <c r="O512" s="101">
        <v>1</v>
      </c>
      <c r="P512" s="104">
        <f>VLOOKUP($B512,ma!$A:$C,3,0)</f>
        <v>800000</v>
      </c>
      <c r="Q512" s="140">
        <v>1220000</v>
      </c>
      <c r="R512" s="138">
        <v>7.5999999999999998E-2</v>
      </c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spans="1:27" ht="14">
      <c r="A513" s="97">
        <f t="shared" si="74"/>
        <v>3</v>
      </c>
      <c r="B513" s="98" t="s">
        <v>1666</v>
      </c>
      <c r="C513" s="99" t="s">
        <v>56</v>
      </c>
      <c r="D513" s="100">
        <v>46192</v>
      </c>
      <c r="E513" s="99" t="e">
        <f>VLOOKUP($C513,xe!$A:$B,2,0)</f>
        <v>#N/A</v>
      </c>
      <c r="F513" s="101" t="str">
        <f>VLOOKUP($B513,ma!$A:$B,2,0)</f>
        <v>EMART P.H.ÍCH</v>
      </c>
      <c r="G513" s="102"/>
      <c r="H513" s="103"/>
      <c r="I513" s="104"/>
      <c r="J513" s="105" t="s">
        <v>2061</v>
      </c>
      <c r="K513" s="106">
        <v>1.8</v>
      </c>
      <c r="L513" s="107">
        <f t="shared" si="73"/>
        <v>90000</v>
      </c>
      <c r="M513" s="104"/>
      <c r="N513" s="101"/>
      <c r="O513" s="101">
        <v>1</v>
      </c>
      <c r="P513" s="104">
        <f>VLOOKUP($B513,ma!$A:$C,3,0)</f>
        <v>800000</v>
      </c>
      <c r="Q513" s="140">
        <v>860000</v>
      </c>
      <c r="R513" s="138">
        <v>7.5999999999999998E-2</v>
      </c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spans="1:27" ht="14">
      <c r="A514" s="97">
        <f t="shared" si="74"/>
        <v>4</v>
      </c>
      <c r="B514" s="98" t="s">
        <v>1666</v>
      </c>
      <c r="C514" s="99" t="s">
        <v>61</v>
      </c>
      <c r="D514" s="100">
        <v>46192</v>
      </c>
      <c r="E514" s="99" t="e">
        <f>VLOOKUP($C514,xe!$A:$B,2,0)</f>
        <v>#N/A</v>
      </c>
      <c r="F514" s="101" t="str">
        <f>VLOOKUP($B514,ma!$A:$B,2,0)</f>
        <v>EMART P.H.ÍCH</v>
      </c>
      <c r="G514" s="102"/>
      <c r="H514" s="103"/>
      <c r="I514" s="104"/>
      <c r="J514" s="105" t="s">
        <v>119</v>
      </c>
      <c r="K514" s="106">
        <v>1.8</v>
      </c>
      <c r="L514" s="107">
        <f t="shared" si="73"/>
        <v>90000</v>
      </c>
      <c r="M514" s="104"/>
      <c r="N514" s="101"/>
      <c r="O514" s="101">
        <v>1</v>
      </c>
      <c r="P514" s="104">
        <f>VLOOKUP($B514,ma!$A:$C,3,0)</f>
        <v>800000</v>
      </c>
      <c r="Q514" s="140">
        <v>860000</v>
      </c>
      <c r="R514" s="138">
        <v>7.5999999999999998E-2</v>
      </c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spans="1:27" ht="14">
      <c r="A515" s="97">
        <f t="shared" si="74"/>
        <v>5</v>
      </c>
      <c r="B515" s="98" t="s">
        <v>1182</v>
      </c>
      <c r="C515" s="99" t="s">
        <v>55</v>
      </c>
      <c r="D515" s="100">
        <v>46192</v>
      </c>
      <c r="E515" s="99" t="e">
        <f>VLOOKUP($C515,xe!$A:$B,2,0)</f>
        <v>#N/A</v>
      </c>
      <c r="F515" s="101" t="str">
        <f>VLOOKUP($B515,ma!$A:$B,2,0)</f>
        <v>SATRA VIETTEL</v>
      </c>
      <c r="G515" s="102"/>
      <c r="H515" s="103"/>
      <c r="I515" s="104"/>
      <c r="J515" s="126" t="s">
        <v>1520</v>
      </c>
      <c r="K515" s="106">
        <v>1.4</v>
      </c>
      <c r="L515" s="107">
        <f t="shared" si="73"/>
        <v>70000</v>
      </c>
      <c r="M515" s="104"/>
      <c r="N515" s="101"/>
      <c r="O515" s="101">
        <v>1</v>
      </c>
      <c r="P515" s="104">
        <f>VLOOKUP($B515,ma!$A:$C,3,0)</f>
        <v>800000</v>
      </c>
      <c r="Q515" s="140">
        <v>860000</v>
      </c>
      <c r="R515" s="138">
        <v>7.5999999999999998E-2</v>
      </c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spans="1:27" ht="14">
      <c r="A516" s="97">
        <f t="shared" si="74"/>
        <v>6</v>
      </c>
      <c r="B516" s="98" t="s">
        <v>1621</v>
      </c>
      <c r="C516" s="99" t="s">
        <v>57</v>
      </c>
      <c r="D516" s="100">
        <v>46192</v>
      </c>
      <c r="E516" s="99" t="e">
        <f>VLOOKUP($C516,xe!$A:$B,2,0)</f>
        <v>#N/A</v>
      </c>
      <c r="F516" s="101" t="str">
        <f>VLOOKUP($B516,ma!$A:$B,2,0)</f>
        <v>PHONG VÂN - GÒ VẤP ( K BX )</v>
      </c>
      <c r="G516" s="102"/>
      <c r="H516" s="103"/>
      <c r="I516" s="104"/>
      <c r="J516" s="99"/>
      <c r="K516" s="106"/>
      <c r="L516" s="107"/>
      <c r="M516" s="104"/>
      <c r="N516" s="101"/>
      <c r="O516" s="101">
        <v>1</v>
      </c>
      <c r="P516" s="104">
        <f>VLOOKUP($B516,ma!$A:$C,3,0)</f>
        <v>800000</v>
      </c>
      <c r="Q516" s="140">
        <v>860000</v>
      </c>
      <c r="R516" s="138">
        <v>7.5999999999999998E-2</v>
      </c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spans="1:27" ht="14">
      <c r="A517" s="97">
        <f t="shared" si="74"/>
        <v>7</v>
      </c>
      <c r="B517" s="98" t="s">
        <v>1494</v>
      </c>
      <c r="C517" s="99" t="s">
        <v>16</v>
      </c>
      <c r="D517" s="100">
        <v>46192</v>
      </c>
      <c r="E517" s="99" t="str">
        <f>VLOOKUP($C517,xe!$A:$B,2,0)</f>
        <v>50H-74619</v>
      </c>
      <c r="F517" s="101" t="str">
        <f>VLOOKUP($B517,ma!$A:$B,2,0)</f>
        <v>HỒNG Á ( K BX )</v>
      </c>
      <c r="G517" s="102"/>
      <c r="H517" s="103"/>
      <c r="I517" s="104"/>
      <c r="J517" s="105" t="s">
        <v>2062</v>
      </c>
      <c r="K517" s="106">
        <v>2.4</v>
      </c>
      <c r="L517" s="107">
        <v>50000</v>
      </c>
      <c r="M517" s="104"/>
      <c r="N517" s="101"/>
      <c r="O517" s="101">
        <v>1</v>
      </c>
      <c r="P517" s="104">
        <f>VLOOKUP($B517,ma!$A:$C,3,0)</f>
        <v>800000</v>
      </c>
      <c r="Q517" s="140">
        <v>860000</v>
      </c>
      <c r="R517" s="138">
        <v>7.5999999999999998E-2</v>
      </c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spans="1:27" ht="14">
      <c r="A518" s="97">
        <f t="shared" si="74"/>
        <v>8</v>
      </c>
      <c r="B518" s="98" t="s">
        <v>873</v>
      </c>
      <c r="C518" s="99" t="s">
        <v>12</v>
      </c>
      <c r="D518" s="100">
        <v>46192</v>
      </c>
      <c r="E518" s="99" t="str">
        <f>VLOOKUP($C518,xe!$A:$B,2,0)</f>
        <v>50E-164,61</v>
      </c>
      <c r="F518" s="101" t="str">
        <f>VLOOKUP($B518,ma!$A:$B,2,0)</f>
        <v>VĨNH PHONG</v>
      </c>
      <c r="G518" s="102"/>
      <c r="H518" s="103"/>
      <c r="I518" s="104"/>
      <c r="J518" s="105" t="s">
        <v>2063</v>
      </c>
      <c r="K518" s="106">
        <v>1</v>
      </c>
      <c r="L518" s="107">
        <f t="shared" ref="L518:L524" si="75">K518*50000</f>
        <v>50000</v>
      </c>
      <c r="M518" s="104"/>
      <c r="N518" s="101"/>
      <c r="O518" s="101">
        <v>1</v>
      </c>
      <c r="P518" s="104">
        <f>VLOOKUP($B518,ma!$A:$C,3,0)</f>
        <v>800000</v>
      </c>
      <c r="Q518" s="140">
        <v>860000</v>
      </c>
      <c r="R518" s="138">
        <v>7.5999999999999998E-2</v>
      </c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spans="1:27" ht="14">
      <c r="A519" s="97">
        <f t="shared" si="74"/>
        <v>9</v>
      </c>
      <c r="B519" s="98" t="s">
        <v>2064</v>
      </c>
      <c r="C519" s="99" t="s">
        <v>28</v>
      </c>
      <c r="D519" s="100">
        <v>46192</v>
      </c>
      <c r="E519" s="99" t="str">
        <f>VLOOKUP($C519,xe!$A:$B,2,0)</f>
        <v>50H-54580</v>
      </c>
      <c r="F519" s="101" t="str">
        <f>VLOOKUP($B519,ma!$A:$B,2,0)</f>
        <v>THANH MINH Q6</v>
      </c>
      <c r="G519" s="102"/>
      <c r="H519" s="103"/>
      <c r="I519" s="104"/>
      <c r="J519" s="105" t="s">
        <v>2065</v>
      </c>
      <c r="K519" s="106"/>
      <c r="L519" s="107">
        <f t="shared" si="75"/>
        <v>0</v>
      </c>
      <c r="M519" s="104"/>
      <c r="N519" s="101"/>
      <c r="O519" s="101">
        <v>1</v>
      </c>
      <c r="P519" s="104">
        <f>VLOOKUP($B519,ma!$A:$C,3,0)</f>
        <v>800000</v>
      </c>
      <c r="Q519" s="140">
        <v>860000</v>
      </c>
      <c r="R519" s="138">
        <v>7.5999999999999998E-2</v>
      </c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spans="1:27" ht="14">
      <c r="A520" s="97">
        <f t="shared" si="74"/>
        <v>10</v>
      </c>
      <c r="B520" s="98" t="s">
        <v>2066</v>
      </c>
      <c r="C520" s="99" t="s">
        <v>10</v>
      </c>
      <c r="D520" s="100">
        <v>46192</v>
      </c>
      <c r="E520" s="99" t="str">
        <f>VLOOKUP($C520,xe!$A:$B,2,0)</f>
        <v>50H-50999</v>
      </c>
      <c r="F520" s="101" t="str">
        <f>VLOOKUP($B520,ma!$A:$B,2,0)</f>
        <v>Khang Phát</v>
      </c>
      <c r="G520" s="102"/>
      <c r="H520" s="103"/>
      <c r="I520" s="104"/>
      <c r="J520" s="141" t="s">
        <v>2067</v>
      </c>
      <c r="K520" s="106"/>
      <c r="L520" s="107">
        <f t="shared" si="75"/>
        <v>0</v>
      </c>
      <c r="M520" s="104"/>
      <c r="N520" s="101"/>
      <c r="O520" s="101">
        <v>1</v>
      </c>
      <c r="P520" s="104">
        <f>VLOOKUP($B520,ma!$A:$C,3,0)</f>
        <v>800000</v>
      </c>
      <c r="Q520" s="140">
        <v>860000</v>
      </c>
      <c r="R520" s="138">
        <v>7.5999999999999998E-2</v>
      </c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spans="1:27" ht="14">
      <c r="A521" s="97">
        <f t="shared" si="74"/>
        <v>11</v>
      </c>
      <c r="B521" s="98" t="s">
        <v>775</v>
      </c>
      <c r="C521" s="99" t="s">
        <v>16</v>
      </c>
      <c r="D521" s="100">
        <v>46192</v>
      </c>
      <c r="E521" s="99" t="str">
        <f>VLOOKUP($C521,xe!$A:$B,2,0)</f>
        <v>50H-74619</v>
      </c>
      <c r="F521" s="101" t="str">
        <f>VLOOKUP($B521,ma!$A:$B,2,0)</f>
        <v>HUBCAKE</v>
      </c>
      <c r="G521" s="102"/>
      <c r="H521" s="103"/>
      <c r="I521" s="104"/>
      <c r="J521" s="99"/>
      <c r="K521" s="106"/>
      <c r="L521" s="107">
        <f t="shared" si="75"/>
        <v>0</v>
      </c>
      <c r="M521" s="104"/>
      <c r="N521" s="101"/>
      <c r="O521" s="101">
        <v>1</v>
      </c>
      <c r="P521" s="104">
        <f>VLOOKUP($B521,ma!$A:$C,3,0)</f>
        <v>800000</v>
      </c>
      <c r="Q521" s="140">
        <v>860000</v>
      </c>
      <c r="R521" s="138">
        <v>7.5999999999999998E-2</v>
      </c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spans="1:27" ht="14">
      <c r="A522" s="97">
        <f t="shared" si="74"/>
        <v>12</v>
      </c>
      <c r="B522" s="98" t="s">
        <v>775</v>
      </c>
      <c r="C522" s="99" t="s">
        <v>1559</v>
      </c>
      <c r="D522" s="100">
        <v>46192</v>
      </c>
      <c r="E522" s="114" t="e">
        <f>VLOOKUP($C522,xe!$A:$B,2,0)</f>
        <v>#N/A</v>
      </c>
      <c r="F522" s="101" t="str">
        <f>VLOOKUP($B522,ma!$A:$B,2,0)</f>
        <v>HUBCAKE</v>
      </c>
      <c r="G522" s="102"/>
      <c r="H522" s="103"/>
      <c r="I522" s="104"/>
      <c r="J522" s="99"/>
      <c r="K522" s="106"/>
      <c r="L522" s="107">
        <f t="shared" si="75"/>
        <v>0</v>
      </c>
      <c r="M522" s="104"/>
      <c r="N522" s="101"/>
      <c r="O522" s="101">
        <v>1</v>
      </c>
      <c r="P522" s="104">
        <f>VLOOKUP($B522,ma!$A:$C,3,0)</f>
        <v>800000</v>
      </c>
      <c r="Q522" s="140">
        <v>860000</v>
      </c>
      <c r="R522" s="138">
        <v>7.5999999999999998E-2</v>
      </c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spans="1:27" ht="14">
      <c r="A523" s="97">
        <f t="shared" si="74"/>
        <v>13</v>
      </c>
      <c r="B523" s="98" t="s">
        <v>571</v>
      </c>
      <c r="C523" s="99" t="s">
        <v>4</v>
      </c>
      <c r="D523" s="100">
        <v>46192</v>
      </c>
      <c r="E523" s="99" t="str">
        <f>VLOOKUP($C523,xe!$A:$B,2,0)</f>
        <v>50H-55116</v>
      </c>
      <c r="F523" s="101" t="str">
        <f>VLOOKUP($B523,ma!$A:$B,2,0)</f>
        <v>LÊ GIA THỦ ĐỨC</v>
      </c>
      <c r="G523" s="102"/>
      <c r="H523" s="103"/>
      <c r="I523" s="104"/>
      <c r="J523" s="99"/>
      <c r="K523" s="106"/>
      <c r="L523" s="107">
        <f t="shared" si="75"/>
        <v>0</v>
      </c>
      <c r="M523" s="104"/>
      <c r="N523" s="101"/>
      <c r="O523" s="101">
        <v>1</v>
      </c>
      <c r="P523" s="104">
        <f>VLOOKUP($B523,ma!$A:$C,3,0)</f>
        <v>800000</v>
      </c>
      <c r="Q523" s="140">
        <v>860000</v>
      </c>
      <c r="R523" s="138">
        <v>7.5999999999999998E-2</v>
      </c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spans="1:27" ht="18.75" customHeight="1">
      <c r="A524" s="97">
        <f t="shared" si="74"/>
        <v>14</v>
      </c>
      <c r="B524" s="98" t="s">
        <v>645</v>
      </c>
      <c r="C524" s="99" t="s">
        <v>1570</v>
      </c>
      <c r="D524" s="100">
        <v>46192</v>
      </c>
      <c r="E524" s="99" t="str">
        <f>VLOOKUP($C524,xe!$A:$B,2,0)</f>
        <v>50H-66445</v>
      </c>
      <c r="F524" s="101" t="str">
        <f>VLOOKUP($B524,ma!$A:$B,2,0)</f>
        <v>GN FOOD LONG HẬU</v>
      </c>
      <c r="G524" s="102"/>
      <c r="H524" s="103"/>
      <c r="I524" s="104"/>
      <c r="J524" s="99"/>
      <c r="K524" s="106"/>
      <c r="L524" s="107">
        <f t="shared" si="75"/>
        <v>0</v>
      </c>
      <c r="M524" s="104"/>
      <c r="N524" s="101"/>
      <c r="O524" s="101">
        <v>1</v>
      </c>
      <c r="P524" s="104">
        <f>VLOOKUP($B524,ma!$A:$C,3,0)</f>
        <v>600000</v>
      </c>
      <c r="Q524" s="140">
        <v>640000</v>
      </c>
      <c r="R524" s="138">
        <v>7.5999999999999998E-2</v>
      </c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spans="1:27" ht="18.75" customHeight="1">
      <c r="A525" s="97">
        <f t="shared" si="74"/>
        <v>15</v>
      </c>
      <c r="B525" s="98" t="s">
        <v>781</v>
      </c>
      <c r="C525" s="99" t="s">
        <v>12</v>
      </c>
      <c r="D525" s="100">
        <v>46192</v>
      </c>
      <c r="E525" s="99" t="str">
        <f>VLOOKUP($C525,xe!$A:$B,2,0)</f>
        <v>50E-164,61</v>
      </c>
      <c r="F525" s="101" t="str">
        <f>VLOOKUP($B525,ma!$A:$B,2,0)</f>
        <v>SONG HỒNG TÂN ( KBX )</v>
      </c>
      <c r="G525" s="102"/>
      <c r="H525" s="103"/>
      <c r="I525" s="104"/>
      <c r="J525" s="99"/>
      <c r="K525" s="106"/>
      <c r="L525" s="107">
        <v>50000</v>
      </c>
      <c r="M525" s="104"/>
      <c r="N525" s="101"/>
      <c r="O525" s="101">
        <v>1</v>
      </c>
      <c r="P525" s="104">
        <f>VLOOKUP($B525,ma!$A:$C,3,0)</f>
        <v>900000</v>
      </c>
      <c r="Q525" s="140">
        <v>970000</v>
      </c>
      <c r="R525" s="138">
        <v>7.5999999999999998E-2</v>
      </c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spans="1:27" ht="14">
      <c r="A526" s="97">
        <f t="shared" si="74"/>
        <v>16</v>
      </c>
      <c r="B526" s="98" t="s">
        <v>781</v>
      </c>
      <c r="C526" s="99" t="s">
        <v>14</v>
      </c>
      <c r="D526" s="100">
        <v>46192</v>
      </c>
      <c r="E526" s="99" t="str">
        <f>VLOOKUP($C526,xe!$A:$B,2,0)</f>
        <v>51H -88294</v>
      </c>
      <c r="F526" s="101" t="str">
        <f>VLOOKUP($B526,ma!$A:$B,2,0)</f>
        <v>SONG HỒNG TÂN ( KBX )</v>
      </c>
      <c r="G526" s="102"/>
      <c r="H526" s="103"/>
      <c r="I526" s="104"/>
      <c r="J526" s="99"/>
      <c r="K526" s="106"/>
      <c r="L526" s="107">
        <v>50000</v>
      </c>
      <c r="M526" s="104"/>
      <c r="N526" s="101"/>
      <c r="O526" s="101">
        <v>1</v>
      </c>
      <c r="P526" s="104">
        <f>VLOOKUP($B526,ma!$A:$C,3,0)</f>
        <v>900000</v>
      </c>
      <c r="Q526" s="140">
        <v>970000</v>
      </c>
      <c r="R526" s="138">
        <v>7.5999999999999998E-2</v>
      </c>
      <c r="S526" s="111"/>
      <c r="T526" s="111"/>
      <c r="U526" s="111"/>
      <c r="V526" s="111"/>
      <c r="W526" s="111"/>
      <c r="X526" s="111"/>
      <c r="Y526" s="111"/>
      <c r="Z526" s="111"/>
      <c r="AA526" s="111"/>
    </row>
    <row r="527" spans="1:27" ht="14">
      <c r="A527" s="97">
        <f t="shared" si="74"/>
        <v>17</v>
      </c>
      <c r="B527" s="98" t="s">
        <v>781</v>
      </c>
      <c r="C527" s="99" t="s">
        <v>1484</v>
      </c>
      <c r="D527" s="100">
        <v>46192</v>
      </c>
      <c r="E527" s="99" t="e">
        <f>VLOOKUP($C527,xe!$A:$B,2,0)</f>
        <v>#N/A</v>
      </c>
      <c r="F527" s="101" t="str">
        <f>VLOOKUP($B527,ma!$A:$B,2,0)</f>
        <v>SONG HỒNG TÂN ( KBX )</v>
      </c>
      <c r="G527" s="102"/>
      <c r="H527" s="103"/>
      <c r="I527" s="104"/>
      <c r="J527" s="99"/>
      <c r="K527" s="106"/>
      <c r="L527" s="107"/>
      <c r="M527" s="104"/>
      <c r="N527" s="101"/>
      <c r="O527" s="101">
        <v>1</v>
      </c>
      <c r="P527" s="104">
        <f>VLOOKUP($B527,ma!$A:$C,3,0)</f>
        <v>900000</v>
      </c>
      <c r="Q527" s="140">
        <v>970000</v>
      </c>
      <c r="R527" s="138">
        <v>7.5999999999999998E-2</v>
      </c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spans="1:27" ht="14">
      <c r="A528" s="97">
        <f t="shared" si="74"/>
        <v>18</v>
      </c>
      <c r="B528" s="98" t="s">
        <v>781</v>
      </c>
      <c r="C528" s="99" t="s">
        <v>1488</v>
      </c>
      <c r="D528" s="100">
        <v>46192</v>
      </c>
      <c r="E528" s="99" t="e">
        <f>VLOOKUP($C528,xe!$A:$B,2,0)</f>
        <v>#N/A</v>
      </c>
      <c r="F528" s="101" t="str">
        <f>VLOOKUP($B528,ma!$A:$B,2,0)</f>
        <v>SONG HỒNG TÂN ( KBX )</v>
      </c>
      <c r="G528" s="102"/>
      <c r="H528" s="103"/>
      <c r="I528" s="104"/>
      <c r="J528" s="99"/>
      <c r="K528" s="106"/>
      <c r="L528" s="107"/>
      <c r="M528" s="104"/>
      <c r="N528" s="101"/>
      <c r="O528" s="101">
        <v>1</v>
      </c>
      <c r="P528" s="104">
        <f>VLOOKUP($B528,ma!$A:$C,3,0)</f>
        <v>900000</v>
      </c>
      <c r="Q528" s="140">
        <v>970000</v>
      </c>
      <c r="R528" s="138">
        <v>7.5999999999999998E-2</v>
      </c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spans="1:27" ht="14">
      <c r="A529" s="97">
        <f t="shared" si="74"/>
        <v>19</v>
      </c>
      <c r="B529" s="98" t="s">
        <v>781</v>
      </c>
      <c r="C529" s="99" t="s">
        <v>1509</v>
      </c>
      <c r="D529" s="100">
        <v>46192</v>
      </c>
      <c r="E529" s="99" t="str">
        <f>VLOOKUP($C529,xe!$A:$B,2,0)</f>
        <v>50H-70216</v>
      </c>
      <c r="F529" s="101" t="str">
        <f>VLOOKUP($B529,ma!$A:$B,2,0)</f>
        <v>SONG HỒNG TÂN ( KBX )</v>
      </c>
      <c r="G529" s="102"/>
      <c r="H529" s="103"/>
      <c r="I529" s="104"/>
      <c r="J529" s="99"/>
      <c r="K529" s="106"/>
      <c r="L529" s="107">
        <v>50000</v>
      </c>
      <c r="M529" s="104"/>
      <c r="N529" s="101"/>
      <c r="O529" s="101">
        <v>1</v>
      </c>
      <c r="P529" s="104">
        <f>VLOOKUP($B529,ma!$A:$C,3,0)</f>
        <v>900000</v>
      </c>
      <c r="Q529" s="140">
        <v>970000</v>
      </c>
      <c r="R529" s="138">
        <v>7.5999999999999998E-2</v>
      </c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spans="1:27" ht="14">
      <c r="A530" s="97">
        <f t="shared" si="74"/>
        <v>20</v>
      </c>
      <c r="B530" s="98" t="s">
        <v>2068</v>
      </c>
      <c r="C530" s="99" t="s">
        <v>18</v>
      </c>
      <c r="D530" s="100">
        <v>46192</v>
      </c>
      <c r="E530" s="99" t="str">
        <f>VLOOKUP($C530,xe!$A:$B,2,0)</f>
        <v>50H 87442</v>
      </c>
      <c r="F530" s="101" t="str">
        <f>VLOOKUP($B530,ma!$A:$B,2,0)</f>
        <v>CHOLIMEX BINH CHÁNH ( KBX )</v>
      </c>
      <c r="G530" s="102"/>
      <c r="H530" s="103"/>
      <c r="I530" s="104"/>
      <c r="J530" s="99"/>
      <c r="K530" s="106"/>
      <c r="L530" s="107">
        <v>50000</v>
      </c>
      <c r="M530" s="104"/>
      <c r="N530" s="101"/>
      <c r="O530" s="101">
        <v>1</v>
      </c>
      <c r="P530" s="104">
        <f>VLOOKUP($B530,ma!$A:$C,3,0)</f>
        <v>800000</v>
      </c>
      <c r="Q530" s="140">
        <v>860000</v>
      </c>
      <c r="R530" s="138">
        <v>7.5999999999999998E-2</v>
      </c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spans="1:27" ht="14">
      <c r="A531" s="97">
        <f t="shared" si="74"/>
        <v>21</v>
      </c>
      <c r="B531" s="98" t="s">
        <v>395</v>
      </c>
      <c r="C531" s="99" t="s">
        <v>28</v>
      </c>
      <c r="D531" s="100">
        <v>46192</v>
      </c>
      <c r="E531" s="99" t="str">
        <f>VLOOKUP($C531,xe!$A:$B,2,0)</f>
        <v>50H-54580</v>
      </c>
      <c r="F531" s="101" t="str">
        <f>VLOOKUP($B531,ma!$A:$B,2,0)</f>
        <v xml:space="preserve">ĐỨC TỎ </v>
      </c>
      <c r="G531" s="102"/>
      <c r="H531" s="103"/>
      <c r="I531" s="104"/>
      <c r="J531" s="141" t="s">
        <v>2069</v>
      </c>
      <c r="K531" s="106"/>
      <c r="L531" s="107">
        <f t="shared" ref="L531:L532" si="76">K531*50000</f>
        <v>0</v>
      </c>
      <c r="M531" s="104"/>
      <c r="N531" s="101"/>
      <c r="O531" s="101">
        <v>1</v>
      </c>
      <c r="P531" s="104">
        <f>VLOOKUP($B531,ma!$A:$C,3,0)</f>
        <v>800000</v>
      </c>
      <c r="Q531" s="140">
        <v>860000</v>
      </c>
      <c r="R531" s="138">
        <v>7.5999999999999998E-2</v>
      </c>
      <c r="S531" s="111"/>
      <c r="T531" s="111"/>
      <c r="U531" s="111"/>
      <c r="V531" s="111"/>
      <c r="W531" s="111"/>
      <c r="X531" s="111"/>
      <c r="Y531" s="111"/>
      <c r="Z531" s="111"/>
      <c r="AA531" s="111"/>
    </row>
    <row r="532" spans="1:27" ht="14">
      <c r="A532" s="97">
        <f t="shared" si="74"/>
        <v>22</v>
      </c>
      <c r="B532" s="98" t="s">
        <v>415</v>
      </c>
      <c r="C532" s="99" t="s">
        <v>1582</v>
      </c>
      <c r="D532" s="100">
        <v>46192</v>
      </c>
      <c r="E532" s="99" t="e">
        <f>VLOOKUP($C532,xe!$A:$B,2,0)</f>
        <v>#N/A</v>
      </c>
      <c r="F532" s="101" t="str">
        <f>VLOOKUP($B532,ma!$A:$B,2,0)</f>
        <v>MINH PHONG Q.12</v>
      </c>
      <c r="G532" s="102"/>
      <c r="H532" s="103"/>
      <c r="I532" s="104"/>
      <c r="J532" s="99"/>
      <c r="K532" s="106"/>
      <c r="L532" s="107">
        <f t="shared" si="76"/>
        <v>0</v>
      </c>
      <c r="M532" s="104"/>
      <c r="N532" s="101"/>
      <c r="O532" s="101">
        <v>1</v>
      </c>
      <c r="P532" s="104">
        <f>VLOOKUP($B532,ma!$A:$C,3,0)</f>
        <v>800000</v>
      </c>
      <c r="Q532" s="140">
        <v>860000</v>
      </c>
      <c r="R532" s="138">
        <v>7.5999999999999998E-2</v>
      </c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spans="1:27" ht="14">
      <c r="A533" s="97">
        <f t="shared" si="74"/>
        <v>23</v>
      </c>
      <c r="B533" s="98" t="s">
        <v>913</v>
      </c>
      <c r="C533" s="99" t="s">
        <v>22</v>
      </c>
      <c r="D533" s="100">
        <v>46192</v>
      </c>
      <c r="E533" s="99" t="str">
        <f>VLOOKUP($C533,xe!$A:$B,2,0)</f>
        <v>50H-66445</v>
      </c>
      <c r="F533" s="101" t="str">
        <f>VLOOKUP($B533,ma!$A:$B,2,0)</f>
        <v>XUÂN VÂN ( K BX )</v>
      </c>
      <c r="G533" s="102"/>
      <c r="H533" s="103"/>
      <c r="I533" s="104"/>
      <c r="J533" s="99"/>
      <c r="K533" s="106"/>
      <c r="L533" s="107">
        <v>50000</v>
      </c>
      <c r="M533" s="104"/>
      <c r="N533" s="101"/>
      <c r="O533" s="101">
        <v>1</v>
      </c>
      <c r="P533" s="104">
        <f>VLOOKUP($B533,ma!$A:$C,3,0)</f>
        <v>800000</v>
      </c>
      <c r="Q533" s="140">
        <v>860000</v>
      </c>
      <c r="R533" s="138">
        <v>7.5999999999999998E-2</v>
      </c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spans="1:27" ht="14">
      <c r="A534" s="97">
        <f t="shared" si="74"/>
        <v>24</v>
      </c>
      <c r="B534" s="98" t="s">
        <v>851</v>
      </c>
      <c r="C534" s="99" t="s">
        <v>24</v>
      </c>
      <c r="D534" s="100">
        <v>46192</v>
      </c>
      <c r="E534" s="99" t="str">
        <f>VLOOKUP($C534,xe!$A:$B,2,0)</f>
        <v>50H-55161</v>
      </c>
      <c r="F534" s="101" t="str">
        <f>VLOOKUP($B534,ma!$A:$B,2,0)</f>
        <v>VỊ NGỌT HAPPY ( K BX )</v>
      </c>
      <c r="G534" s="102"/>
      <c r="H534" s="103"/>
      <c r="I534" s="104"/>
      <c r="J534" s="99"/>
      <c r="K534" s="106"/>
      <c r="L534" s="107">
        <v>50000</v>
      </c>
      <c r="M534" s="104"/>
      <c r="N534" s="101"/>
      <c r="O534" s="101">
        <v>1</v>
      </c>
      <c r="P534" s="104">
        <f>VLOOKUP($B534,ma!$A:$C,3,0)</f>
        <v>800000</v>
      </c>
      <c r="Q534" s="140">
        <v>860000</v>
      </c>
      <c r="R534" s="138">
        <v>7.5999999999999998E-2</v>
      </c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spans="1:27" ht="14">
      <c r="A535" s="97">
        <f t="shared" si="74"/>
        <v>25</v>
      </c>
      <c r="B535" s="98" t="s">
        <v>851</v>
      </c>
      <c r="C535" s="99" t="s">
        <v>30</v>
      </c>
      <c r="D535" s="100">
        <v>46192</v>
      </c>
      <c r="E535" s="99" t="str">
        <f>VLOOKUP($C535,xe!$A:$B,2,0)</f>
        <v>50H-63174</v>
      </c>
      <c r="F535" s="101" t="str">
        <f>VLOOKUP($B535,ma!$A:$B,2,0)</f>
        <v>VỊ NGỌT HAPPY ( K BX )</v>
      </c>
      <c r="G535" s="102"/>
      <c r="H535" s="103"/>
      <c r="I535" s="104"/>
      <c r="J535" s="99"/>
      <c r="K535" s="106"/>
      <c r="L535" s="107">
        <v>50000</v>
      </c>
      <c r="M535" s="104"/>
      <c r="N535" s="101"/>
      <c r="O535" s="101">
        <v>1</v>
      </c>
      <c r="P535" s="104">
        <f>VLOOKUP($B535,ma!$A:$C,3,0)</f>
        <v>800000</v>
      </c>
      <c r="Q535" s="140">
        <v>860000</v>
      </c>
      <c r="R535" s="138">
        <v>7.5999999999999998E-2</v>
      </c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spans="1:27" ht="14">
      <c r="A536" s="97">
        <f t="shared" si="74"/>
        <v>26</v>
      </c>
      <c r="B536" s="98" t="s">
        <v>961</v>
      </c>
      <c r="C536" s="99" t="s">
        <v>1488</v>
      </c>
      <c r="D536" s="100">
        <v>46192</v>
      </c>
      <c r="E536" s="99" t="e">
        <f>VLOOKUP($C536,xe!$A:$B,2,0)</f>
        <v>#N/A</v>
      </c>
      <c r="F536" s="101" t="str">
        <f>VLOOKUP($B536,ma!$A:$B,2,0)</f>
        <v>M. AN PHÚ</v>
      </c>
      <c r="G536" s="102"/>
      <c r="H536" s="103"/>
      <c r="I536" s="104"/>
      <c r="J536" s="99"/>
      <c r="K536" s="106"/>
      <c r="L536" s="107">
        <f t="shared" ref="L536:L770" si="77">K536*50000</f>
        <v>0</v>
      </c>
      <c r="M536" s="104"/>
      <c r="N536" s="101"/>
      <c r="O536" s="101">
        <v>1</v>
      </c>
      <c r="P536" s="104">
        <f>VLOOKUP($B536,ma!$A:$C,3,0)</f>
        <v>800000</v>
      </c>
      <c r="Q536" s="140">
        <v>860000</v>
      </c>
      <c r="R536" s="138">
        <v>7.5999999999999998E-2</v>
      </c>
      <c r="S536" s="111"/>
      <c r="T536" s="111"/>
      <c r="U536" s="111"/>
      <c r="V536" s="111"/>
      <c r="W536" s="111"/>
      <c r="X536" s="111"/>
      <c r="Y536" s="111"/>
      <c r="Z536" s="111"/>
      <c r="AA536" s="111"/>
    </row>
    <row r="537" spans="1:27" ht="14">
      <c r="A537" s="97">
        <f t="shared" si="74"/>
        <v>27</v>
      </c>
      <c r="B537" s="98" t="s">
        <v>961</v>
      </c>
      <c r="C537" s="99" t="s">
        <v>8</v>
      </c>
      <c r="D537" s="100">
        <v>46192</v>
      </c>
      <c r="E537" s="99" t="str">
        <f>VLOOKUP($C537,xe!$A:$B,2,0)</f>
        <v>50H-64316</v>
      </c>
      <c r="F537" s="101" t="str">
        <f>VLOOKUP($B537,ma!$A:$B,2,0)</f>
        <v>M. AN PHÚ</v>
      </c>
      <c r="G537" s="102"/>
      <c r="H537" s="103"/>
      <c r="I537" s="104"/>
      <c r="J537" s="99"/>
      <c r="K537" s="106"/>
      <c r="L537" s="107">
        <f t="shared" si="77"/>
        <v>0</v>
      </c>
      <c r="M537" s="104"/>
      <c r="N537" s="101"/>
      <c r="O537" s="101">
        <v>1</v>
      </c>
      <c r="P537" s="104">
        <f>VLOOKUP($B537,ma!$A:$C,3,0)</f>
        <v>800000</v>
      </c>
      <c r="Q537" s="140">
        <v>860000</v>
      </c>
      <c r="R537" s="138">
        <v>7.5999999999999998E-2</v>
      </c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spans="1:27" ht="14">
      <c r="A538" s="97">
        <f t="shared" si="74"/>
        <v>28</v>
      </c>
      <c r="B538" s="98" t="s">
        <v>961</v>
      </c>
      <c r="C538" s="99" t="s">
        <v>1509</v>
      </c>
      <c r="D538" s="100">
        <v>46192</v>
      </c>
      <c r="E538" s="99" t="str">
        <f>VLOOKUP($C538,xe!$A:$B,2,0)</f>
        <v>50H-70216</v>
      </c>
      <c r="F538" s="101" t="str">
        <f>VLOOKUP($B538,ma!$A:$B,2,0)</f>
        <v>M. AN PHÚ</v>
      </c>
      <c r="G538" s="102"/>
      <c r="H538" s="103"/>
      <c r="I538" s="104"/>
      <c r="J538" s="99"/>
      <c r="K538" s="106"/>
      <c r="L538" s="107">
        <f t="shared" si="77"/>
        <v>0</v>
      </c>
      <c r="M538" s="104"/>
      <c r="N538" s="101"/>
      <c r="O538" s="101">
        <v>1</v>
      </c>
      <c r="P538" s="104">
        <f>VLOOKUP($B538,ma!$A:$C,3,0)</f>
        <v>800000</v>
      </c>
      <c r="Q538" s="140">
        <v>860000</v>
      </c>
      <c r="R538" s="138">
        <v>7.5999999999999998E-2</v>
      </c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spans="1:27" ht="14">
      <c r="A539" s="97">
        <f t="shared" si="74"/>
        <v>29</v>
      </c>
      <c r="B539" s="98" t="s">
        <v>891</v>
      </c>
      <c r="C539" s="99" t="s">
        <v>8</v>
      </c>
      <c r="D539" s="100">
        <v>46192</v>
      </c>
      <c r="E539" s="99" t="str">
        <f>VLOOKUP($C539,xe!$A:$B,2,0)</f>
        <v>50H-64316</v>
      </c>
      <c r="F539" s="101" t="str">
        <f>VLOOKUP($B539,ma!$A:$B,2,0)</f>
        <v>VĂN HẬU LONG HƯNG ( KBX )</v>
      </c>
      <c r="G539" s="102" t="s">
        <v>1499</v>
      </c>
      <c r="H539" s="103" t="s">
        <v>1499</v>
      </c>
      <c r="I539" s="104"/>
      <c r="J539" s="99"/>
      <c r="K539" s="106"/>
      <c r="L539" s="107">
        <f t="shared" si="77"/>
        <v>0</v>
      </c>
      <c r="M539" s="104"/>
      <c r="N539" s="101"/>
      <c r="O539" s="101">
        <v>1</v>
      </c>
      <c r="P539" s="104">
        <f>VLOOKUP($B539,ma!$A:$C,3,0)</f>
        <v>800000</v>
      </c>
      <c r="Q539" s="140">
        <v>860000</v>
      </c>
      <c r="R539" s="138">
        <v>7.5999999999999998E-2</v>
      </c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spans="1:27" ht="14">
      <c r="A540" s="97">
        <f t="shared" si="74"/>
        <v>30</v>
      </c>
      <c r="B540" s="98" t="s">
        <v>1161</v>
      </c>
      <c r="C540" s="99" t="s">
        <v>22</v>
      </c>
      <c r="D540" s="100">
        <v>46192</v>
      </c>
      <c r="E540" s="99" t="str">
        <f>VLOOKUP($C540,xe!$A:$B,2,0)</f>
        <v>50H-66445</v>
      </c>
      <c r="F540" s="101" t="str">
        <f>VLOOKUP($B540,ma!$A:$B,2,0)</f>
        <v>LOTTEMART-Q7</v>
      </c>
      <c r="G540" s="102"/>
      <c r="H540" s="103"/>
      <c r="I540" s="104"/>
      <c r="J540" s="105" t="s">
        <v>119</v>
      </c>
      <c r="K540" s="106">
        <v>2</v>
      </c>
      <c r="L540" s="107">
        <f t="shared" si="77"/>
        <v>100000</v>
      </c>
      <c r="M540" s="104"/>
      <c r="N540" s="101"/>
      <c r="O540" s="101">
        <v>1</v>
      </c>
      <c r="P540" s="104">
        <f>VLOOKUP($B540,ma!$A:$C,3,0)</f>
        <v>800000</v>
      </c>
      <c r="Q540" s="140">
        <v>860000</v>
      </c>
      <c r="R540" s="138">
        <v>7.5999999999999998E-2</v>
      </c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spans="1:27" ht="14">
      <c r="A541" s="97">
        <f t="shared" si="74"/>
        <v>31</v>
      </c>
      <c r="B541" s="98" t="s">
        <v>1161</v>
      </c>
      <c r="C541" s="99" t="s">
        <v>12</v>
      </c>
      <c r="D541" s="100">
        <v>46192</v>
      </c>
      <c r="E541" s="99" t="str">
        <f>VLOOKUP($C541,xe!$A:$B,2,0)</f>
        <v>50E-164,61</v>
      </c>
      <c r="F541" s="101" t="str">
        <f>VLOOKUP($B541,ma!$A:$B,2,0)</f>
        <v>LOTTEMART-Q7</v>
      </c>
      <c r="G541" s="102"/>
      <c r="H541" s="103"/>
      <c r="I541" s="104"/>
      <c r="J541" s="105" t="s">
        <v>119</v>
      </c>
      <c r="K541" s="106">
        <v>2</v>
      </c>
      <c r="L541" s="107">
        <f t="shared" si="77"/>
        <v>100000</v>
      </c>
      <c r="M541" s="104"/>
      <c r="N541" s="101"/>
      <c r="O541" s="101">
        <v>1</v>
      </c>
      <c r="P541" s="104">
        <f>VLOOKUP($B541,ma!$A:$C,3,0)</f>
        <v>800000</v>
      </c>
      <c r="Q541" s="140">
        <v>860000</v>
      </c>
      <c r="R541" s="138">
        <v>7.5999999999999998E-2</v>
      </c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spans="1:27" ht="14">
      <c r="A542" s="97">
        <f t="shared" si="74"/>
        <v>32</v>
      </c>
      <c r="B542" s="98" t="s">
        <v>1161</v>
      </c>
      <c r="C542" s="99" t="s">
        <v>14</v>
      </c>
      <c r="D542" s="100">
        <v>46192</v>
      </c>
      <c r="E542" s="99" t="str">
        <f>VLOOKUP($C542,xe!$A:$B,2,0)</f>
        <v>51H -88294</v>
      </c>
      <c r="F542" s="101" t="str">
        <f>VLOOKUP($B542,ma!$A:$B,2,0)</f>
        <v>LOTTEMART-Q7</v>
      </c>
      <c r="G542" s="102"/>
      <c r="H542" s="103"/>
      <c r="I542" s="104"/>
      <c r="J542" s="105" t="s">
        <v>119</v>
      </c>
      <c r="K542" s="106">
        <v>2</v>
      </c>
      <c r="L542" s="107">
        <f t="shared" si="77"/>
        <v>100000</v>
      </c>
      <c r="M542" s="104"/>
      <c r="N542" s="101"/>
      <c r="O542" s="101">
        <v>1</v>
      </c>
      <c r="P542" s="104">
        <f>VLOOKUP($B542,ma!$A:$C,3,0)</f>
        <v>800000</v>
      </c>
      <c r="Q542" s="140">
        <v>860000</v>
      </c>
      <c r="R542" s="138">
        <v>7.5999999999999998E-2</v>
      </c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spans="1:27" ht="14">
      <c r="A543" s="97">
        <f t="shared" si="74"/>
        <v>33</v>
      </c>
      <c r="B543" s="98" t="s">
        <v>1161</v>
      </c>
      <c r="C543" s="99" t="s">
        <v>1505</v>
      </c>
      <c r="D543" s="100">
        <v>46192</v>
      </c>
      <c r="E543" s="99" t="str">
        <f>VLOOKUP($C543,xe!$A:$B,2,0)</f>
        <v>50H 87442</v>
      </c>
      <c r="F543" s="101" t="str">
        <f>VLOOKUP($B543,ma!$A:$B,2,0)</f>
        <v>LOTTEMART-Q7</v>
      </c>
      <c r="G543" s="102"/>
      <c r="H543" s="103"/>
      <c r="I543" s="104"/>
      <c r="J543" s="105" t="s">
        <v>119</v>
      </c>
      <c r="K543" s="106">
        <v>2</v>
      </c>
      <c r="L543" s="107">
        <f t="shared" si="77"/>
        <v>100000</v>
      </c>
      <c r="M543" s="104"/>
      <c r="N543" s="101"/>
      <c r="O543" s="101">
        <v>1</v>
      </c>
      <c r="P543" s="104">
        <f>VLOOKUP($B543,ma!$A:$C,3,0)</f>
        <v>800000</v>
      </c>
      <c r="Q543" s="140">
        <v>860000</v>
      </c>
      <c r="R543" s="138">
        <v>7.5999999999999998E-2</v>
      </c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spans="1:27" ht="14">
      <c r="A544" s="97">
        <f t="shared" si="74"/>
        <v>34</v>
      </c>
      <c r="B544" s="98" t="s">
        <v>1165</v>
      </c>
      <c r="C544" s="99" t="s">
        <v>1549</v>
      </c>
      <c r="D544" s="100">
        <v>46192</v>
      </c>
      <c r="E544" s="99" t="str">
        <f>VLOOKUP($C544,xe!$A:$B,2,0)</f>
        <v>50H-55443</v>
      </c>
      <c r="F544" s="101" t="str">
        <f>VLOOKUP($B544,ma!$A:$B,2,0)</f>
        <v>LOTTE-GÒ VẤP</v>
      </c>
      <c r="G544" s="102"/>
      <c r="H544" s="103"/>
      <c r="I544" s="104"/>
      <c r="J544" s="105" t="s">
        <v>119</v>
      </c>
      <c r="K544" s="106">
        <v>2</v>
      </c>
      <c r="L544" s="107">
        <f t="shared" si="77"/>
        <v>100000</v>
      </c>
      <c r="M544" s="104"/>
      <c r="N544" s="101"/>
      <c r="O544" s="101">
        <v>1</v>
      </c>
      <c r="P544" s="104">
        <f>VLOOKUP($B544,ma!$A:$C,3,0)</f>
        <v>800000</v>
      </c>
      <c r="Q544" s="140">
        <v>860000</v>
      </c>
      <c r="R544" s="138">
        <v>7.5999999999999998E-2</v>
      </c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spans="1:27" ht="14">
      <c r="A545" s="97">
        <f t="shared" si="74"/>
        <v>35</v>
      </c>
      <c r="B545" s="98" t="s">
        <v>1165</v>
      </c>
      <c r="C545" s="99" t="s">
        <v>1565</v>
      </c>
      <c r="D545" s="100">
        <v>46192</v>
      </c>
      <c r="E545" s="99" t="str">
        <f>VLOOKUP($C545,xe!$A:$B,2,0)</f>
        <v>50H-55116</v>
      </c>
      <c r="F545" s="101" t="str">
        <f>VLOOKUP($B545,ma!$A:$B,2,0)</f>
        <v>LOTTE-GÒ VẤP</v>
      </c>
      <c r="G545" s="102"/>
      <c r="H545" s="103"/>
      <c r="I545" s="104"/>
      <c r="J545" s="105" t="s">
        <v>119</v>
      </c>
      <c r="K545" s="106">
        <v>2</v>
      </c>
      <c r="L545" s="107">
        <f t="shared" si="77"/>
        <v>100000</v>
      </c>
      <c r="M545" s="104"/>
      <c r="N545" s="101"/>
      <c r="O545" s="101">
        <v>1</v>
      </c>
      <c r="P545" s="104">
        <f>VLOOKUP($B545,ma!$A:$C,3,0)</f>
        <v>800000</v>
      </c>
      <c r="Q545" s="140">
        <v>860000</v>
      </c>
      <c r="R545" s="138">
        <v>7.5999999999999998E-2</v>
      </c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spans="1:27" ht="14">
      <c r="A546" s="97">
        <f t="shared" si="74"/>
        <v>36</v>
      </c>
      <c r="B546" s="98" t="s">
        <v>1165</v>
      </c>
      <c r="C546" s="99" t="s">
        <v>6</v>
      </c>
      <c r="D546" s="100">
        <v>46192</v>
      </c>
      <c r="E546" s="99" t="str">
        <f>VLOOKUP($C546,xe!$A:$B,2,0)</f>
        <v>50H-69501</v>
      </c>
      <c r="F546" s="101" t="str">
        <f>VLOOKUP($B546,ma!$A:$B,2,0)</f>
        <v>LOTTE-GÒ VẤP</v>
      </c>
      <c r="G546" s="102"/>
      <c r="H546" s="103"/>
      <c r="I546" s="104"/>
      <c r="J546" s="105" t="s">
        <v>119</v>
      </c>
      <c r="K546" s="106">
        <v>2</v>
      </c>
      <c r="L546" s="107">
        <f t="shared" si="77"/>
        <v>100000</v>
      </c>
      <c r="M546" s="104"/>
      <c r="N546" s="101"/>
      <c r="O546" s="101">
        <v>1</v>
      </c>
      <c r="P546" s="104">
        <f>VLOOKUP($B546,ma!$A:$C,3,0)</f>
        <v>800000</v>
      </c>
      <c r="Q546" s="140">
        <v>860000</v>
      </c>
      <c r="R546" s="138">
        <v>7.5999999999999998E-2</v>
      </c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spans="1:27" ht="14">
      <c r="A547" s="97">
        <f t="shared" si="74"/>
        <v>37</v>
      </c>
      <c r="B547" s="98" t="s">
        <v>452</v>
      </c>
      <c r="C547" s="99" t="s">
        <v>6</v>
      </c>
      <c r="D547" s="100">
        <v>46192</v>
      </c>
      <c r="E547" s="99" t="str">
        <f>VLOOKUP($C547,xe!$A:$B,2,0)</f>
        <v>50H-69501</v>
      </c>
      <c r="F547" s="101" t="str">
        <f>VLOOKUP($B547,ma!$A:$B,2,0)</f>
        <v>NGUYỄN TRƯƠNG</v>
      </c>
      <c r="G547" s="102"/>
      <c r="H547" s="103"/>
      <c r="I547" s="104"/>
      <c r="J547" s="99"/>
      <c r="K547" s="106"/>
      <c r="L547" s="107">
        <f t="shared" si="77"/>
        <v>0</v>
      </c>
      <c r="M547" s="104"/>
      <c r="N547" s="101"/>
      <c r="O547" s="101">
        <v>1</v>
      </c>
      <c r="P547" s="104">
        <f>VLOOKUP($B547,ma!$A:$C,3,0)</f>
        <v>800000</v>
      </c>
      <c r="Q547" s="140">
        <v>860000</v>
      </c>
      <c r="R547" s="138">
        <v>7.5999999999999998E-2</v>
      </c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spans="1:27" ht="14">
      <c r="A548" s="116">
        <v>1</v>
      </c>
      <c r="B548" s="117" t="s">
        <v>1654</v>
      </c>
      <c r="C548" s="118" t="s">
        <v>28</v>
      </c>
      <c r="D548" s="119">
        <v>46193</v>
      </c>
      <c r="E548" s="118" t="str">
        <f>VLOOKUP($C548,xe!$A:$B,2,0)</f>
        <v>50H-54580</v>
      </c>
      <c r="F548" s="120" t="str">
        <f>VLOOKUP($B548,ma!$A:$B,2,0)</f>
        <v>BHX ( VL)</v>
      </c>
      <c r="G548" s="121"/>
      <c r="H548" s="122"/>
      <c r="I548" s="123"/>
      <c r="J548" s="126" t="s">
        <v>1520</v>
      </c>
      <c r="K548" s="124">
        <v>1.6</v>
      </c>
      <c r="L548" s="125">
        <f t="shared" si="77"/>
        <v>80000</v>
      </c>
      <c r="M548" s="123"/>
      <c r="N548" s="120"/>
      <c r="O548" s="120">
        <v>1</v>
      </c>
      <c r="P548" s="123">
        <f>VLOOKUP($B548,ma!$A:$C,3,0)</f>
        <v>800000</v>
      </c>
      <c r="Q548" s="108">
        <v>860000</v>
      </c>
      <c r="R548" s="138">
        <v>7.5999999999999998E-2</v>
      </c>
      <c r="S548" s="111"/>
      <c r="T548" s="111"/>
      <c r="U548" s="111"/>
      <c r="V548" s="111"/>
      <c r="W548" s="111"/>
      <c r="X548" s="111"/>
      <c r="Y548" s="111"/>
      <c r="Z548" s="111"/>
      <c r="AA548" s="111"/>
    </row>
    <row r="549" spans="1:27" ht="14">
      <c r="A549" s="97">
        <f t="shared" ref="A549:A770" si="78">A548+1</f>
        <v>2</v>
      </c>
      <c r="B549" s="98" t="s">
        <v>1654</v>
      </c>
      <c r="C549" s="99" t="s">
        <v>24</v>
      </c>
      <c r="D549" s="100">
        <v>46193</v>
      </c>
      <c r="E549" s="99" t="str">
        <f>VLOOKUP($C549,xe!$A:$B,2,0)</f>
        <v>50H-55161</v>
      </c>
      <c r="F549" s="101" t="str">
        <f>VLOOKUP($B549,ma!$A:$B,2,0)</f>
        <v>BHX ( VL)</v>
      </c>
      <c r="G549" s="102"/>
      <c r="H549" s="103"/>
      <c r="I549" s="104"/>
      <c r="J549" s="126" t="s">
        <v>1520</v>
      </c>
      <c r="K549" s="106">
        <v>1.6</v>
      </c>
      <c r="L549" s="107">
        <f t="shared" si="77"/>
        <v>80000</v>
      </c>
      <c r="M549" s="104"/>
      <c r="N549" s="101"/>
      <c r="O549" s="101">
        <v>1</v>
      </c>
      <c r="P549" s="104">
        <f>VLOOKUP($B549,ma!$A:$C,3,0)</f>
        <v>800000</v>
      </c>
      <c r="Q549" s="140">
        <v>860000</v>
      </c>
      <c r="R549" s="138">
        <v>7.5999999999999998E-2</v>
      </c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spans="1:27" ht="14">
      <c r="A550" s="97">
        <f t="shared" si="78"/>
        <v>3</v>
      </c>
      <c r="B550" s="98" t="s">
        <v>1654</v>
      </c>
      <c r="C550" s="99" t="s">
        <v>1484</v>
      </c>
      <c r="D550" s="100">
        <v>46193</v>
      </c>
      <c r="E550" s="99" t="e">
        <f>VLOOKUP($C550,xe!$A:$B,2,0)</f>
        <v>#N/A</v>
      </c>
      <c r="F550" s="101" t="str">
        <f>VLOOKUP($B550,ma!$A:$B,2,0)</f>
        <v>BHX ( VL)</v>
      </c>
      <c r="G550" s="102"/>
      <c r="H550" s="103"/>
      <c r="I550" s="104"/>
      <c r="J550" s="105" t="s">
        <v>465</v>
      </c>
      <c r="K550" s="106">
        <v>1.6</v>
      </c>
      <c r="L550" s="107">
        <f t="shared" si="77"/>
        <v>80000</v>
      </c>
      <c r="M550" s="104"/>
      <c r="N550" s="101"/>
      <c r="O550" s="101">
        <v>1</v>
      </c>
      <c r="P550" s="104">
        <f>VLOOKUP($B550,ma!$A:$C,3,0)</f>
        <v>800000</v>
      </c>
      <c r="Q550" s="140">
        <v>860000</v>
      </c>
      <c r="R550" s="138">
        <v>7.5999999999999998E-2</v>
      </c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spans="1:27" ht="14">
      <c r="A551" s="97">
        <f t="shared" si="78"/>
        <v>4</v>
      </c>
      <c r="B551" s="98" t="s">
        <v>1457</v>
      </c>
      <c r="C551" s="99" t="s">
        <v>30</v>
      </c>
      <c r="D551" s="100">
        <v>46193</v>
      </c>
      <c r="E551" s="99" t="str">
        <f>VLOOKUP($C551,xe!$A:$B,2,0)</f>
        <v>50H-63174</v>
      </c>
      <c r="F551" s="101" t="str">
        <f>VLOOKUP($B551,ma!$A:$B,2,0)</f>
        <v>E MART P.V.TRỊ</v>
      </c>
      <c r="G551" s="102"/>
      <c r="H551" s="103"/>
      <c r="I551" s="104"/>
      <c r="J551" s="105" t="s">
        <v>119</v>
      </c>
      <c r="K551" s="106">
        <v>1.8</v>
      </c>
      <c r="L551" s="107">
        <f t="shared" si="77"/>
        <v>90000</v>
      </c>
      <c r="M551" s="104"/>
      <c r="N551" s="101"/>
      <c r="O551" s="101">
        <v>1</v>
      </c>
      <c r="P551" s="104">
        <f>VLOOKUP($B551,ma!$A:$C,3,0)</f>
        <v>800000</v>
      </c>
      <c r="Q551" s="140">
        <v>860000</v>
      </c>
      <c r="R551" s="138">
        <v>7.5999999999999998E-2</v>
      </c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spans="1:27" ht="14">
      <c r="A552" s="97">
        <f t="shared" si="78"/>
        <v>5</v>
      </c>
      <c r="B552" s="98" t="s">
        <v>1612</v>
      </c>
      <c r="C552" s="99" t="s">
        <v>16</v>
      </c>
      <c r="D552" s="100">
        <v>46193</v>
      </c>
      <c r="E552" s="99" t="str">
        <f>VLOOKUP($C552,xe!$A:$B,2,0)</f>
        <v>50H-74619</v>
      </c>
      <c r="F552" s="101" t="str">
        <f>VLOOKUP($B552,ma!$A:$B,2,0)</f>
        <v>E MART SALA</v>
      </c>
      <c r="G552" s="102"/>
      <c r="H552" s="103"/>
      <c r="I552" s="104"/>
      <c r="J552" s="105" t="s">
        <v>119</v>
      </c>
      <c r="K552" s="106">
        <v>1</v>
      </c>
      <c r="L552" s="107">
        <f t="shared" si="77"/>
        <v>50000</v>
      </c>
      <c r="M552" s="104"/>
      <c r="N552" s="101"/>
      <c r="O552" s="101">
        <v>1</v>
      </c>
      <c r="P552" s="104">
        <f>VLOOKUP($B552,ma!$A:$C,3,0)</f>
        <v>800000</v>
      </c>
      <c r="Q552" s="140">
        <v>860000</v>
      </c>
      <c r="R552" s="138">
        <v>7.5999999999999998E-2</v>
      </c>
      <c r="S552" s="111"/>
      <c r="T552" s="111"/>
      <c r="U552" s="111"/>
      <c r="V552" s="111"/>
      <c r="W552" s="111"/>
      <c r="X552" s="111"/>
      <c r="Y552" s="111"/>
      <c r="Z552" s="111"/>
      <c r="AA552" s="111"/>
    </row>
    <row r="553" spans="1:27" ht="14">
      <c r="A553" s="97">
        <f t="shared" si="78"/>
        <v>6</v>
      </c>
      <c r="B553" s="98" t="s">
        <v>1457</v>
      </c>
      <c r="C553" s="99" t="s">
        <v>1509</v>
      </c>
      <c r="D553" s="100">
        <v>46193</v>
      </c>
      <c r="E553" s="99" t="str">
        <f>VLOOKUP($C553,xe!$A:$B,2,0)</f>
        <v>50H-70216</v>
      </c>
      <c r="F553" s="101" t="str">
        <f>VLOOKUP($B553,ma!$A:$B,2,0)</f>
        <v>E MART P.V.TRỊ</v>
      </c>
      <c r="G553" s="102"/>
      <c r="H553" s="103"/>
      <c r="I553" s="104"/>
      <c r="J553" s="105" t="s">
        <v>119</v>
      </c>
      <c r="K553" s="106">
        <v>1.8</v>
      </c>
      <c r="L553" s="107">
        <f t="shared" si="77"/>
        <v>90000</v>
      </c>
      <c r="M553" s="129">
        <v>300000</v>
      </c>
      <c r="N553" s="130" t="s">
        <v>1935</v>
      </c>
      <c r="O553" s="101">
        <v>1</v>
      </c>
      <c r="P553" s="104">
        <f>VLOOKUP($B553,ma!$A:$C,3,0)</f>
        <v>800000</v>
      </c>
      <c r="Q553" s="140">
        <v>860000</v>
      </c>
      <c r="R553" s="138">
        <v>7.5999999999999998E-2</v>
      </c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spans="1:27" ht="14">
      <c r="A554" s="97">
        <f t="shared" si="78"/>
        <v>7</v>
      </c>
      <c r="B554" s="98" t="s">
        <v>1612</v>
      </c>
      <c r="C554" s="99" t="s">
        <v>1505</v>
      </c>
      <c r="D554" s="100">
        <v>46193</v>
      </c>
      <c r="E554" s="99" t="str">
        <f>VLOOKUP($C554,xe!$A:$B,2,0)</f>
        <v>50H 87442</v>
      </c>
      <c r="F554" s="101" t="str">
        <f>VLOOKUP($B554,ma!$A:$B,2,0)</f>
        <v>E MART SALA</v>
      </c>
      <c r="G554" s="102"/>
      <c r="H554" s="103"/>
      <c r="I554" s="104"/>
      <c r="J554" s="105" t="s">
        <v>119</v>
      </c>
      <c r="K554" s="106">
        <v>1</v>
      </c>
      <c r="L554" s="107">
        <f t="shared" si="77"/>
        <v>50000</v>
      </c>
      <c r="M554" s="129">
        <v>300000</v>
      </c>
      <c r="N554" s="130" t="s">
        <v>1935</v>
      </c>
      <c r="O554" s="101">
        <v>1</v>
      </c>
      <c r="P554" s="104">
        <f>VLOOKUP($B554,ma!$A:$C,3,0)</f>
        <v>800000</v>
      </c>
      <c r="Q554" s="140">
        <v>860000</v>
      </c>
      <c r="R554" s="138">
        <v>7.5999999999999998E-2</v>
      </c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spans="1:27" ht="14">
      <c r="A555" s="97">
        <f t="shared" si="78"/>
        <v>8</v>
      </c>
      <c r="B555" s="98"/>
      <c r="C555" s="99"/>
      <c r="D555" s="100"/>
      <c r="E555" s="99" t="e">
        <f>VLOOKUP($C555,xe!$A:$B,2,0)</f>
        <v>#N/A</v>
      </c>
      <c r="F555" s="101" t="e">
        <f>VLOOKUP($B555,ma!$A:$B,2,0)</f>
        <v>#N/A</v>
      </c>
      <c r="G555" s="102"/>
      <c r="H555" s="103"/>
      <c r="I555" s="104"/>
      <c r="J555" s="99"/>
      <c r="K555" s="106"/>
      <c r="L555" s="107">
        <f t="shared" si="77"/>
        <v>0</v>
      </c>
      <c r="M555" s="104"/>
      <c r="N555" s="101"/>
      <c r="O555" s="101">
        <v>1</v>
      </c>
      <c r="P555" s="104" t="e">
        <f>VLOOKUP($B555,ma!$A:$C,3,0)</f>
        <v>#N/A</v>
      </c>
      <c r="Q555" s="140">
        <v>860000</v>
      </c>
      <c r="R555" s="138">
        <v>7.5999999999999998E-2</v>
      </c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spans="1:27" ht="14">
      <c r="A556" s="97">
        <f t="shared" si="78"/>
        <v>9</v>
      </c>
      <c r="B556" s="98"/>
      <c r="C556" s="99"/>
      <c r="D556" s="100"/>
      <c r="E556" s="99" t="e">
        <f>VLOOKUP($C556,xe!$A:$B,2,0)</f>
        <v>#N/A</v>
      </c>
      <c r="F556" s="101" t="e">
        <f>VLOOKUP($B556,ma!$A:$B,2,0)</f>
        <v>#N/A</v>
      </c>
      <c r="G556" s="102"/>
      <c r="H556" s="103"/>
      <c r="I556" s="104"/>
      <c r="J556" s="99"/>
      <c r="K556" s="106"/>
      <c r="L556" s="107">
        <f t="shared" si="77"/>
        <v>0</v>
      </c>
      <c r="M556" s="104"/>
      <c r="N556" s="101"/>
      <c r="O556" s="101">
        <v>1</v>
      </c>
      <c r="P556" s="104" t="e">
        <f>VLOOKUP($B556,ma!$A:$C,3,0)</f>
        <v>#N/A</v>
      </c>
      <c r="Q556" s="140">
        <v>860000</v>
      </c>
      <c r="R556" s="138">
        <v>7.5999999999999998E-2</v>
      </c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spans="1:27" ht="14">
      <c r="A557" s="97">
        <f t="shared" si="78"/>
        <v>10</v>
      </c>
      <c r="B557" s="98"/>
      <c r="C557" s="99"/>
      <c r="D557" s="100"/>
      <c r="E557" s="99" t="e">
        <f>VLOOKUP($C557,xe!$A:$B,2,0)</f>
        <v>#N/A</v>
      </c>
      <c r="F557" s="101" t="e">
        <f>VLOOKUP($B557,ma!$A:$B,2,0)</f>
        <v>#N/A</v>
      </c>
      <c r="G557" s="102"/>
      <c r="H557" s="103"/>
      <c r="I557" s="104"/>
      <c r="J557" s="99"/>
      <c r="K557" s="106"/>
      <c r="L557" s="107">
        <f t="shared" si="77"/>
        <v>0</v>
      </c>
      <c r="M557" s="104"/>
      <c r="N557" s="101"/>
      <c r="O557" s="101">
        <v>1</v>
      </c>
      <c r="P557" s="104" t="e">
        <f>VLOOKUP($B557,ma!$A:$C,3,0)</f>
        <v>#N/A</v>
      </c>
      <c r="Q557" s="140">
        <v>860000</v>
      </c>
      <c r="R557" s="138">
        <v>7.5999999999999998E-2</v>
      </c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spans="1:27" ht="14">
      <c r="A558" s="97">
        <f t="shared" si="78"/>
        <v>11</v>
      </c>
      <c r="B558" s="98"/>
      <c r="C558" s="99"/>
      <c r="D558" s="100"/>
      <c r="E558" s="99" t="e">
        <f>VLOOKUP($C558,xe!$A:$B,2,0)</f>
        <v>#N/A</v>
      </c>
      <c r="F558" s="101" t="e">
        <f>VLOOKUP($B558,ma!$A:$B,2,0)</f>
        <v>#N/A</v>
      </c>
      <c r="G558" s="102"/>
      <c r="H558" s="103"/>
      <c r="I558" s="104"/>
      <c r="J558" s="99"/>
      <c r="K558" s="106"/>
      <c r="L558" s="107">
        <f t="shared" si="77"/>
        <v>0</v>
      </c>
      <c r="M558" s="104"/>
      <c r="N558" s="101"/>
      <c r="O558" s="101">
        <v>1</v>
      </c>
      <c r="P558" s="104" t="e">
        <f>VLOOKUP($B558,ma!$A:$C,3,0)</f>
        <v>#N/A</v>
      </c>
      <c r="Q558" s="140">
        <v>860000</v>
      </c>
      <c r="R558" s="138">
        <v>7.5999999999999998E-2</v>
      </c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spans="1:27" ht="14">
      <c r="A559" s="97">
        <f t="shared" si="78"/>
        <v>12</v>
      </c>
      <c r="B559" s="98"/>
      <c r="C559" s="99"/>
      <c r="D559" s="100"/>
      <c r="E559" s="99" t="e">
        <f>VLOOKUP($C559,xe!$A:$B,2,0)</f>
        <v>#N/A</v>
      </c>
      <c r="F559" s="101" t="e">
        <f>VLOOKUP($B559,ma!$A:$B,2,0)</f>
        <v>#N/A</v>
      </c>
      <c r="G559" s="102"/>
      <c r="H559" s="103"/>
      <c r="I559" s="104"/>
      <c r="J559" s="99"/>
      <c r="K559" s="106"/>
      <c r="L559" s="107">
        <f t="shared" si="77"/>
        <v>0</v>
      </c>
      <c r="M559" s="104"/>
      <c r="N559" s="101"/>
      <c r="O559" s="101">
        <v>1</v>
      </c>
      <c r="P559" s="104" t="e">
        <f>VLOOKUP($B559,ma!$A:$C,3,0)</f>
        <v>#N/A</v>
      </c>
      <c r="Q559" s="140">
        <v>860000</v>
      </c>
      <c r="R559" s="138">
        <v>7.5999999999999998E-2</v>
      </c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spans="1:27" ht="14">
      <c r="A560" s="97">
        <f t="shared" si="78"/>
        <v>13</v>
      </c>
      <c r="B560" s="98"/>
      <c r="C560" s="99"/>
      <c r="D560" s="100"/>
      <c r="E560" s="99" t="e">
        <f>VLOOKUP($C560,xe!$A:$B,2,0)</f>
        <v>#N/A</v>
      </c>
      <c r="F560" s="101" t="e">
        <f>VLOOKUP($B560,ma!$A:$B,2,0)</f>
        <v>#N/A</v>
      </c>
      <c r="G560" s="102"/>
      <c r="H560" s="103"/>
      <c r="I560" s="104"/>
      <c r="J560" s="99"/>
      <c r="K560" s="106"/>
      <c r="L560" s="107">
        <f t="shared" si="77"/>
        <v>0</v>
      </c>
      <c r="M560" s="104"/>
      <c r="N560" s="101"/>
      <c r="O560" s="101">
        <v>1</v>
      </c>
      <c r="P560" s="104" t="e">
        <f>VLOOKUP($B560,ma!$A:$C,3,0)</f>
        <v>#N/A</v>
      </c>
      <c r="Q560" s="140">
        <v>860000</v>
      </c>
      <c r="R560" s="138">
        <v>7.5999999999999998E-2</v>
      </c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spans="1:27" ht="14">
      <c r="A561" s="97">
        <f t="shared" si="78"/>
        <v>14</v>
      </c>
      <c r="B561" s="98"/>
      <c r="C561" s="99"/>
      <c r="D561" s="100"/>
      <c r="E561" s="99" t="e">
        <f>VLOOKUP($C561,xe!$A:$B,2,0)</f>
        <v>#N/A</v>
      </c>
      <c r="F561" s="101" t="e">
        <f>VLOOKUP($B561,ma!$A:$B,2,0)</f>
        <v>#N/A</v>
      </c>
      <c r="G561" s="102"/>
      <c r="H561" s="103"/>
      <c r="I561" s="104"/>
      <c r="J561" s="99"/>
      <c r="K561" s="106"/>
      <c r="L561" s="107">
        <f t="shared" si="77"/>
        <v>0</v>
      </c>
      <c r="M561" s="104"/>
      <c r="N561" s="101"/>
      <c r="O561" s="101">
        <v>1</v>
      </c>
      <c r="P561" s="104" t="e">
        <f>VLOOKUP($B561,ma!$A:$C,3,0)</f>
        <v>#N/A</v>
      </c>
      <c r="Q561" s="140">
        <v>860000</v>
      </c>
      <c r="R561" s="138">
        <v>7.5999999999999998E-2</v>
      </c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spans="1:27" ht="14">
      <c r="A562" s="97">
        <f t="shared" si="78"/>
        <v>15</v>
      </c>
      <c r="B562" s="98"/>
      <c r="C562" s="99"/>
      <c r="D562" s="100"/>
      <c r="E562" s="99" t="e">
        <f>VLOOKUP($C562,xe!$A:$B,2,0)</f>
        <v>#N/A</v>
      </c>
      <c r="F562" s="101" t="e">
        <f>VLOOKUP($B562,ma!$A:$B,2,0)</f>
        <v>#N/A</v>
      </c>
      <c r="G562" s="102"/>
      <c r="H562" s="103"/>
      <c r="I562" s="104"/>
      <c r="J562" s="99"/>
      <c r="K562" s="106"/>
      <c r="L562" s="107">
        <f t="shared" si="77"/>
        <v>0</v>
      </c>
      <c r="M562" s="104"/>
      <c r="N562" s="101"/>
      <c r="O562" s="101">
        <v>1</v>
      </c>
      <c r="P562" s="104" t="e">
        <f>VLOOKUP($B562,ma!$A:$C,3,0)</f>
        <v>#N/A</v>
      </c>
      <c r="Q562" s="140">
        <v>860000</v>
      </c>
      <c r="R562" s="138">
        <v>7.5999999999999998E-2</v>
      </c>
      <c r="S562" s="111"/>
      <c r="T562" s="111"/>
      <c r="U562" s="111"/>
      <c r="V562" s="111"/>
      <c r="W562" s="111"/>
      <c r="X562" s="111"/>
      <c r="Y562" s="111"/>
      <c r="Z562" s="111"/>
      <c r="AA562" s="111"/>
    </row>
    <row r="563" spans="1:27" ht="14">
      <c r="A563" s="97">
        <f t="shared" si="78"/>
        <v>16</v>
      </c>
      <c r="B563" s="98"/>
      <c r="C563" s="99"/>
      <c r="D563" s="100"/>
      <c r="E563" s="99" t="e">
        <f>VLOOKUP($C563,xe!$A:$B,2,0)</f>
        <v>#N/A</v>
      </c>
      <c r="F563" s="101" t="e">
        <f>VLOOKUP($B563,ma!$A:$B,2,0)</f>
        <v>#N/A</v>
      </c>
      <c r="G563" s="102"/>
      <c r="H563" s="103"/>
      <c r="I563" s="104"/>
      <c r="J563" s="99"/>
      <c r="K563" s="106"/>
      <c r="L563" s="107">
        <f t="shared" si="77"/>
        <v>0</v>
      </c>
      <c r="M563" s="104"/>
      <c r="N563" s="101"/>
      <c r="O563" s="101">
        <v>1</v>
      </c>
      <c r="P563" s="104" t="e">
        <f>VLOOKUP($B563,ma!$A:$C,3,0)</f>
        <v>#N/A</v>
      </c>
      <c r="Q563" s="140">
        <v>860000</v>
      </c>
      <c r="R563" s="138">
        <v>7.5999999999999998E-2</v>
      </c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spans="1:27" ht="14">
      <c r="A564" s="97">
        <f t="shared" si="78"/>
        <v>17</v>
      </c>
      <c r="B564" s="98"/>
      <c r="C564" s="99"/>
      <c r="D564" s="100"/>
      <c r="E564" s="99" t="e">
        <f>VLOOKUP($C564,xe!$A:$B,2,0)</f>
        <v>#N/A</v>
      </c>
      <c r="F564" s="101" t="e">
        <f>VLOOKUP($B564,ma!$A:$B,2,0)</f>
        <v>#N/A</v>
      </c>
      <c r="G564" s="102"/>
      <c r="H564" s="103"/>
      <c r="I564" s="104"/>
      <c r="J564" s="99"/>
      <c r="K564" s="106"/>
      <c r="L564" s="107">
        <f t="shared" si="77"/>
        <v>0</v>
      </c>
      <c r="M564" s="104"/>
      <c r="N564" s="101"/>
      <c r="O564" s="101">
        <v>1</v>
      </c>
      <c r="P564" s="104" t="e">
        <f>VLOOKUP($B564,ma!$A:$C,3,0)</f>
        <v>#N/A</v>
      </c>
      <c r="Q564" s="140">
        <v>860000</v>
      </c>
      <c r="R564" s="138">
        <v>7.5999999999999998E-2</v>
      </c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spans="1:27" ht="14">
      <c r="A565" s="97">
        <f t="shared" si="78"/>
        <v>18</v>
      </c>
      <c r="B565" s="98"/>
      <c r="C565" s="99"/>
      <c r="D565" s="100"/>
      <c r="E565" s="99" t="e">
        <f>VLOOKUP($C565,xe!$A:$B,2,0)</f>
        <v>#N/A</v>
      </c>
      <c r="F565" s="101" t="e">
        <f>VLOOKUP($B565,ma!$A:$B,2,0)</f>
        <v>#N/A</v>
      </c>
      <c r="G565" s="102"/>
      <c r="H565" s="103"/>
      <c r="I565" s="104"/>
      <c r="J565" s="99"/>
      <c r="K565" s="106"/>
      <c r="L565" s="107">
        <f t="shared" si="77"/>
        <v>0</v>
      </c>
      <c r="M565" s="104"/>
      <c r="N565" s="101"/>
      <c r="O565" s="101">
        <v>1</v>
      </c>
      <c r="P565" s="104" t="e">
        <f>VLOOKUP($B565,ma!$A:$C,3,0)</f>
        <v>#N/A</v>
      </c>
      <c r="Q565" s="140">
        <v>860000</v>
      </c>
      <c r="R565" s="138">
        <v>7.5999999999999998E-2</v>
      </c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spans="1:27" ht="14">
      <c r="A566" s="97">
        <f t="shared" si="78"/>
        <v>19</v>
      </c>
      <c r="B566" s="98"/>
      <c r="C566" s="99"/>
      <c r="D566" s="100"/>
      <c r="E566" s="99" t="e">
        <f>VLOOKUP($C566,xe!$A:$B,2,0)</f>
        <v>#N/A</v>
      </c>
      <c r="F566" s="101" t="e">
        <f>VLOOKUP($B566,ma!$A:$B,2,0)</f>
        <v>#N/A</v>
      </c>
      <c r="G566" s="102"/>
      <c r="H566" s="103"/>
      <c r="I566" s="104"/>
      <c r="J566" s="99"/>
      <c r="K566" s="106"/>
      <c r="L566" s="107">
        <f t="shared" si="77"/>
        <v>0</v>
      </c>
      <c r="M566" s="104"/>
      <c r="N566" s="101"/>
      <c r="O566" s="101">
        <v>1</v>
      </c>
      <c r="P566" s="104" t="e">
        <f>VLOOKUP($B566,ma!$A:$C,3,0)</f>
        <v>#N/A</v>
      </c>
      <c r="Q566" s="140">
        <v>860000</v>
      </c>
      <c r="R566" s="138">
        <v>7.5999999999999998E-2</v>
      </c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spans="1:27" ht="14">
      <c r="A567" s="97">
        <f t="shared" si="78"/>
        <v>20</v>
      </c>
      <c r="B567" s="98"/>
      <c r="C567" s="99"/>
      <c r="D567" s="100"/>
      <c r="E567" s="99" t="e">
        <f>VLOOKUP($C567,xe!$A:$B,2,0)</f>
        <v>#N/A</v>
      </c>
      <c r="F567" s="101" t="e">
        <f>VLOOKUP($B567,ma!$A:$B,2,0)</f>
        <v>#N/A</v>
      </c>
      <c r="G567" s="102"/>
      <c r="H567" s="103"/>
      <c r="I567" s="104"/>
      <c r="J567" s="99"/>
      <c r="K567" s="106"/>
      <c r="L567" s="107">
        <f t="shared" si="77"/>
        <v>0</v>
      </c>
      <c r="M567" s="104"/>
      <c r="N567" s="101"/>
      <c r="O567" s="101">
        <v>1</v>
      </c>
      <c r="P567" s="104" t="e">
        <f>VLOOKUP($B567,ma!$A:$C,3,0)</f>
        <v>#N/A</v>
      </c>
      <c r="Q567" s="140">
        <v>860000</v>
      </c>
      <c r="R567" s="138">
        <v>7.5999999999999998E-2</v>
      </c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spans="1:27" ht="14">
      <c r="A568" s="97">
        <f t="shared" si="78"/>
        <v>21</v>
      </c>
      <c r="B568" s="98"/>
      <c r="C568" s="99"/>
      <c r="D568" s="100"/>
      <c r="E568" s="99" t="e">
        <f>VLOOKUP($C568,xe!$A:$B,2,0)</f>
        <v>#N/A</v>
      </c>
      <c r="F568" s="101" t="e">
        <f>VLOOKUP($B568,ma!$A:$B,2,0)</f>
        <v>#N/A</v>
      </c>
      <c r="G568" s="102"/>
      <c r="H568" s="103"/>
      <c r="I568" s="104"/>
      <c r="J568" s="99"/>
      <c r="K568" s="106"/>
      <c r="L568" s="107">
        <f t="shared" si="77"/>
        <v>0</v>
      </c>
      <c r="M568" s="104"/>
      <c r="N568" s="101"/>
      <c r="O568" s="101">
        <v>1</v>
      </c>
      <c r="P568" s="104" t="e">
        <f>VLOOKUP($B568,ma!$A:$C,3,0)</f>
        <v>#N/A</v>
      </c>
      <c r="Q568" s="140">
        <v>860000</v>
      </c>
      <c r="R568" s="138">
        <v>7.5999999999999998E-2</v>
      </c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spans="1:27" ht="14">
      <c r="A569" s="97">
        <f t="shared" si="78"/>
        <v>22</v>
      </c>
      <c r="B569" s="98"/>
      <c r="C569" s="99"/>
      <c r="D569" s="100"/>
      <c r="E569" s="99" t="e">
        <f>VLOOKUP($C569,xe!$A:$B,2,0)</f>
        <v>#N/A</v>
      </c>
      <c r="F569" s="101" t="e">
        <f>VLOOKUP($B569,ma!$A:$B,2,0)</f>
        <v>#N/A</v>
      </c>
      <c r="G569" s="102"/>
      <c r="H569" s="103"/>
      <c r="I569" s="104"/>
      <c r="J569" s="99"/>
      <c r="K569" s="106"/>
      <c r="L569" s="107">
        <f t="shared" si="77"/>
        <v>0</v>
      </c>
      <c r="M569" s="104"/>
      <c r="N569" s="101"/>
      <c r="O569" s="101">
        <v>1</v>
      </c>
      <c r="P569" s="104" t="e">
        <f>VLOOKUP($B569,ma!$A:$C,3,0)</f>
        <v>#N/A</v>
      </c>
      <c r="Q569" s="140">
        <v>860000</v>
      </c>
      <c r="R569" s="138">
        <v>7.5999999999999998E-2</v>
      </c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spans="1:27" ht="14">
      <c r="A570" s="97">
        <f t="shared" si="78"/>
        <v>23</v>
      </c>
      <c r="B570" s="98"/>
      <c r="C570" s="99"/>
      <c r="D570" s="100"/>
      <c r="E570" s="99" t="e">
        <f>VLOOKUP($C570,xe!$A:$B,2,0)</f>
        <v>#N/A</v>
      </c>
      <c r="F570" s="101" t="e">
        <f>VLOOKUP($B570,ma!$A:$B,2,0)</f>
        <v>#N/A</v>
      </c>
      <c r="G570" s="102"/>
      <c r="H570" s="103"/>
      <c r="I570" s="104"/>
      <c r="J570" s="99"/>
      <c r="K570" s="106"/>
      <c r="L570" s="107">
        <f t="shared" si="77"/>
        <v>0</v>
      </c>
      <c r="M570" s="104"/>
      <c r="N570" s="101"/>
      <c r="O570" s="101">
        <v>1</v>
      </c>
      <c r="P570" s="104" t="e">
        <f>VLOOKUP($B570,ma!$A:$C,3,0)</f>
        <v>#N/A</v>
      </c>
      <c r="Q570" s="140">
        <v>860000</v>
      </c>
      <c r="R570" s="138">
        <v>7.5999999999999998E-2</v>
      </c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spans="1:27" ht="14">
      <c r="A571" s="97">
        <f t="shared" si="78"/>
        <v>24</v>
      </c>
      <c r="B571" s="98"/>
      <c r="C571" s="99"/>
      <c r="D571" s="100"/>
      <c r="E571" s="99" t="e">
        <f>VLOOKUP($C571,xe!$A:$B,2,0)</f>
        <v>#N/A</v>
      </c>
      <c r="F571" s="101" t="e">
        <f>VLOOKUP($B571,ma!$A:$B,2,0)</f>
        <v>#N/A</v>
      </c>
      <c r="G571" s="102"/>
      <c r="H571" s="103"/>
      <c r="I571" s="104"/>
      <c r="J571" s="99"/>
      <c r="K571" s="106"/>
      <c r="L571" s="107">
        <f t="shared" si="77"/>
        <v>0</v>
      </c>
      <c r="M571" s="104"/>
      <c r="N571" s="101"/>
      <c r="O571" s="101">
        <v>1</v>
      </c>
      <c r="P571" s="104" t="e">
        <f>VLOOKUP($B571,ma!$A:$C,3,0)</f>
        <v>#N/A</v>
      </c>
      <c r="Q571" s="140">
        <v>860000</v>
      </c>
      <c r="R571" s="138">
        <v>7.5999999999999998E-2</v>
      </c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spans="1:27" ht="14">
      <c r="A572" s="97">
        <f t="shared" si="78"/>
        <v>25</v>
      </c>
      <c r="B572" s="98"/>
      <c r="C572" s="99"/>
      <c r="D572" s="100"/>
      <c r="E572" s="99" t="e">
        <f>VLOOKUP($C572,xe!$A:$B,2,0)</f>
        <v>#N/A</v>
      </c>
      <c r="F572" s="101" t="e">
        <f>VLOOKUP($B572,ma!$A:$B,2,0)</f>
        <v>#N/A</v>
      </c>
      <c r="G572" s="102"/>
      <c r="H572" s="103"/>
      <c r="I572" s="104"/>
      <c r="J572" s="99"/>
      <c r="K572" s="106"/>
      <c r="L572" s="107">
        <f t="shared" si="77"/>
        <v>0</v>
      </c>
      <c r="M572" s="104"/>
      <c r="N572" s="101"/>
      <c r="O572" s="101">
        <v>1</v>
      </c>
      <c r="P572" s="104" t="e">
        <f>VLOOKUP($B572,ma!$A:$C,3,0)</f>
        <v>#N/A</v>
      </c>
      <c r="Q572" s="140">
        <v>860000</v>
      </c>
      <c r="R572" s="138">
        <v>7.5999999999999998E-2</v>
      </c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spans="1:27" ht="14">
      <c r="A573" s="97">
        <f t="shared" si="78"/>
        <v>26</v>
      </c>
      <c r="B573" s="98"/>
      <c r="C573" s="99"/>
      <c r="D573" s="100"/>
      <c r="E573" s="99" t="e">
        <f>VLOOKUP($C573,xe!$A:$B,2,0)</f>
        <v>#N/A</v>
      </c>
      <c r="F573" s="101" t="e">
        <f>VLOOKUP($B573,ma!$A:$B,2,0)</f>
        <v>#N/A</v>
      </c>
      <c r="G573" s="102"/>
      <c r="H573" s="103"/>
      <c r="I573" s="104"/>
      <c r="J573" s="99"/>
      <c r="K573" s="106"/>
      <c r="L573" s="107">
        <f t="shared" si="77"/>
        <v>0</v>
      </c>
      <c r="M573" s="104"/>
      <c r="N573" s="101"/>
      <c r="O573" s="101">
        <v>1</v>
      </c>
      <c r="P573" s="104" t="e">
        <f>VLOOKUP($B573,ma!$A:$C,3,0)</f>
        <v>#N/A</v>
      </c>
      <c r="Q573" s="140">
        <v>860000</v>
      </c>
      <c r="R573" s="138">
        <v>7.5999999999999998E-2</v>
      </c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spans="1:27" ht="14">
      <c r="A574" s="97">
        <f t="shared" si="78"/>
        <v>27</v>
      </c>
      <c r="B574" s="98"/>
      <c r="C574" s="99"/>
      <c r="D574" s="100"/>
      <c r="E574" s="99" t="e">
        <f>VLOOKUP($C574,xe!$A:$B,2,0)</f>
        <v>#N/A</v>
      </c>
      <c r="F574" s="101" t="e">
        <f>VLOOKUP($B574,ma!$A:$B,2,0)</f>
        <v>#N/A</v>
      </c>
      <c r="G574" s="102"/>
      <c r="H574" s="103"/>
      <c r="I574" s="104"/>
      <c r="J574" s="99"/>
      <c r="K574" s="106"/>
      <c r="L574" s="107">
        <f t="shared" si="77"/>
        <v>0</v>
      </c>
      <c r="M574" s="104"/>
      <c r="N574" s="101"/>
      <c r="O574" s="101">
        <v>1</v>
      </c>
      <c r="P574" s="104" t="e">
        <f>VLOOKUP($B574,ma!$A:$C,3,0)</f>
        <v>#N/A</v>
      </c>
      <c r="Q574" s="140">
        <v>860000</v>
      </c>
      <c r="R574" s="138">
        <v>7.5999999999999998E-2</v>
      </c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spans="1:27" ht="14">
      <c r="A575" s="97">
        <f t="shared" si="78"/>
        <v>28</v>
      </c>
      <c r="B575" s="98"/>
      <c r="C575" s="99"/>
      <c r="D575" s="100"/>
      <c r="E575" s="99" t="e">
        <f>VLOOKUP($C575,xe!$A:$B,2,0)</f>
        <v>#N/A</v>
      </c>
      <c r="F575" s="101" t="e">
        <f>VLOOKUP($B575,ma!$A:$B,2,0)</f>
        <v>#N/A</v>
      </c>
      <c r="G575" s="102"/>
      <c r="H575" s="103"/>
      <c r="I575" s="104"/>
      <c r="J575" s="99"/>
      <c r="K575" s="106"/>
      <c r="L575" s="107">
        <f t="shared" si="77"/>
        <v>0</v>
      </c>
      <c r="M575" s="104"/>
      <c r="N575" s="101"/>
      <c r="O575" s="101">
        <v>1</v>
      </c>
      <c r="P575" s="104" t="e">
        <f>VLOOKUP($B575,ma!$A:$C,3,0)</f>
        <v>#N/A</v>
      </c>
      <c r="Q575" s="140">
        <v>860000</v>
      </c>
      <c r="R575" s="138">
        <v>7.5999999999999998E-2</v>
      </c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spans="1:27" ht="14">
      <c r="A576" s="97">
        <f t="shared" si="78"/>
        <v>29</v>
      </c>
      <c r="B576" s="98"/>
      <c r="C576" s="99"/>
      <c r="D576" s="100"/>
      <c r="E576" s="99" t="e">
        <f>VLOOKUP($C576,xe!$A:$B,2,0)</f>
        <v>#N/A</v>
      </c>
      <c r="F576" s="101" t="e">
        <f>VLOOKUP($B576,ma!$A:$B,2,0)</f>
        <v>#N/A</v>
      </c>
      <c r="G576" s="102"/>
      <c r="H576" s="103"/>
      <c r="I576" s="104"/>
      <c r="J576" s="99"/>
      <c r="K576" s="106"/>
      <c r="L576" s="107">
        <f t="shared" si="77"/>
        <v>0</v>
      </c>
      <c r="M576" s="104"/>
      <c r="N576" s="101"/>
      <c r="O576" s="101">
        <v>1</v>
      </c>
      <c r="P576" s="104" t="e">
        <f>VLOOKUP($B576,ma!$A:$C,3,0)</f>
        <v>#N/A</v>
      </c>
      <c r="Q576" s="140">
        <v>860000</v>
      </c>
      <c r="R576" s="138">
        <v>7.5999999999999998E-2</v>
      </c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spans="1:27" ht="14">
      <c r="A577" s="97">
        <f t="shared" si="78"/>
        <v>30</v>
      </c>
      <c r="B577" s="98"/>
      <c r="C577" s="99"/>
      <c r="D577" s="100"/>
      <c r="E577" s="99" t="e">
        <f>VLOOKUP($C577,xe!$A:$B,2,0)</f>
        <v>#N/A</v>
      </c>
      <c r="F577" s="101" t="e">
        <f>VLOOKUP($B577,ma!$A:$B,2,0)</f>
        <v>#N/A</v>
      </c>
      <c r="G577" s="102"/>
      <c r="H577" s="103"/>
      <c r="I577" s="104"/>
      <c r="J577" s="99"/>
      <c r="K577" s="106"/>
      <c r="L577" s="107">
        <f t="shared" si="77"/>
        <v>0</v>
      </c>
      <c r="M577" s="104"/>
      <c r="N577" s="101"/>
      <c r="O577" s="101">
        <v>1</v>
      </c>
      <c r="P577" s="104" t="e">
        <f>VLOOKUP($B577,ma!$A:$C,3,0)</f>
        <v>#N/A</v>
      </c>
      <c r="Q577" s="140">
        <v>860000</v>
      </c>
      <c r="R577" s="138">
        <v>7.5999999999999998E-2</v>
      </c>
      <c r="S577" s="111"/>
      <c r="T577" s="111"/>
      <c r="U577" s="111"/>
      <c r="V577" s="111"/>
      <c r="W577" s="111"/>
      <c r="X577" s="111"/>
      <c r="Y577" s="111"/>
      <c r="Z577" s="111"/>
      <c r="AA577" s="111"/>
    </row>
    <row r="578" spans="1:27" ht="14">
      <c r="A578" s="97">
        <f t="shared" si="78"/>
        <v>31</v>
      </c>
      <c r="B578" s="98"/>
      <c r="C578" s="99"/>
      <c r="D578" s="100"/>
      <c r="E578" s="99" t="e">
        <f>VLOOKUP($C578,xe!$A:$B,2,0)</f>
        <v>#N/A</v>
      </c>
      <c r="F578" s="101" t="e">
        <f>VLOOKUP($B578,ma!$A:$B,2,0)</f>
        <v>#N/A</v>
      </c>
      <c r="G578" s="102"/>
      <c r="H578" s="103"/>
      <c r="I578" s="104"/>
      <c r="J578" s="99"/>
      <c r="K578" s="106"/>
      <c r="L578" s="107">
        <f t="shared" si="77"/>
        <v>0</v>
      </c>
      <c r="M578" s="104"/>
      <c r="N578" s="101"/>
      <c r="O578" s="101">
        <v>1</v>
      </c>
      <c r="P578" s="104" t="e">
        <f>VLOOKUP($B578,ma!$A:$C,3,0)</f>
        <v>#N/A</v>
      </c>
      <c r="Q578" s="140">
        <v>860000</v>
      </c>
      <c r="R578" s="138">
        <v>7.5999999999999998E-2</v>
      </c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spans="1:27" ht="14">
      <c r="A579" s="97">
        <f t="shared" si="78"/>
        <v>32</v>
      </c>
      <c r="B579" s="98"/>
      <c r="C579" s="99"/>
      <c r="D579" s="100"/>
      <c r="E579" s="99" t="e">
        <f>VLOOKUP($C579,xe!$A:$B,2,0)</f>
        <v>#N/A</v>
      </c>
      <c r="F579" s="101" t="e">
        <f>VLOOKUP($B579,ma!$A:$B,2,0)</f>
        <v>#N/A</v>
      </c>
      <c r="G579" s="102"/>
      <c r="H579" s="103"/>
      <c r="I579" s="104"/>
      <c r="J579" s="99"/>
      <c r="K579" s="106"/>
      <c r="L579" s="107">
        <f t="shared" si="77"/>
        <v>0</v>
      </c>
      <c r="M579" s="104"/>
      <c r="N579" s="101"/>
      <c r="O579" s="101">
        <v>1</v>
      </c>
      <c r="P579" s="104" t="e">
        <f>VLOOKUP($B579,ma!$A:$C,3,0)</f>
        <v>#N/A</v>
      </c>
      <c r="Q579" s="140">
        <v>860000</v>
      </c>
      <c r="R579" s="138">
        <v>7.5999999999999998E-2</v>
      </c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spans="1:27" ht="14">
      <c r="A580" s="97">
        <f t="shared" si="78"/>
        <v>33</v>
      </c>
      <c r="B580" s="98"/>
      <c r="C580" s="99"/>
      <c r="D580" s="100"/>
      <c r="E580" s="99" t="e">
        <f>VLOOKUP($C580,xe!$A:$B,2,0)</f>
        <v>#N/A</v>
      </c>
      <c r="F580" s="101" t="e">
        <f>VLOOKUP($B580,ma!$A:$B,2,0)</f>
        <v>#N/A</v>
      </c>
      <c r="G580" s="102"/>
      <c r="H580" s="103"/>
      <c r="I580" s="104"/>
      <c r="J580" s="99"/>
      <c r="K580" s="106"/>
      <c r="L580" s="107">
        <f t="shared" si="77"/>
        <v>0</v>
      </c>
      <c r="M580" s="104"/>
      <c r="N580" s="101"/>
      <c r="O580" s="101">
        <v>1</v>
      </c>
      <c r="P580" s="104" t="e">
        <f>VLOOKUP($B580,ma!$A:$C,3,0)</f>
        <v>#N/A</v>
      </c>
      <c r="Q580" s="140">
        <v>860000</v>
      </c>
      <c r="R580" s="138">
        <v>7.5999999999999998E-2</v>
      </c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spans="1:27" ht="14">
      <c r="A581" s="97">
        <f t="shared" si="78"/>
        <v>34</v>
      </c>
      <c r="B581" s="98"/>
      <c r="C581" s="99"/>
      <c r="D581" s="100"/>
      <c r="E581" s="99" t="e">
        <f>VLOOKUP($C581,xe!$A:$B,2,0)</f>
        <v>#N/A</v>
      </c>
      <c r="F581" s="101" t="e">
        <f>VLOOKUP($B581,ma!$A:$B,2,0)</f>
        <v>#N/A</v>
      </c>
      <c r="G581" s="102"/>
      <c r="H581" s="103"/>
      <c r="I581" s="104"/>
      <c r="J581" s="99"/>
      <c r="K581" s="106"/>
      <c r="L581" s="107">
        <f t="shared" si="77"/>
        <v>0</v>
      </c>
      <c r="M581" s="104"/>
      <c r="N581" s="101"/>
      <c r="O581" s="101">
        <v>1</v>
      </c>
      <c r="P581" s="104" t="e">
        <f>VLOOKUP($B581,ma!$A:$C,3,0)</f>
        <v>#N/A</v>
      </c>
      <c r="Q581" s="140">
        <v>860000</v>
      </c>
      <c r="R581" s="138">
        <v>7.5999999999999998E-2</v>
      </c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spans="1:27" ht="14">
      <c r="A582" s="97">
        <f t="shared" si="78"/>
        <v>35</v>
      </c>
      <c r="B582" s="98"/>
      <c r="C582" s="99"/>
      <c r="D582" s="100"/>
      <c r="E582" s="99" t="e">
        <f>VLOOKUP($C582,xe!$A:$B,2,0)</f>
        <v>#N/A</v>
      </c>
      <c r="F582" s="101" t="e">
        <f>VLOOKUP($B582,ma!$A:$B,2,0)</f>
        <v>#N/A</v>
      </c>
      <c r="G582" s="102"/>
      <c r="H582" s="103"/>
      <c r="I582" s="104"/>
      <c r="J582" s="99"/>
      <c r="K582" s="106"/>
      <c r="L582" s="107">
        <f t="shared" si="77"/>
        <v>0</v>
      </c>
      <c r="M582" s="104"/>
      <c r="N582" s="101"/>
      <c r="O582" s="101">
        <v>1</v>
      </c>
      <c r="P582" s="104" t="e">
        <f>VLOOKUP($B582,ma!$A:$C,3,0)</f>
        <v>#N/A</v>
      </c>
      <c r="Q582" s="140">
        <v>860000</v>
      </c>
      <c r="R582" s="138">
        <v>7.5999999999999998E-2</v>
      </c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spans="1:27" ht="14">
      <c r="A583" s="97">
        <f t="shared" si="78"/>
        <v>36</v>
      </c>
      <c r="B583" s="98"/>
      <c r="C583" s="99"/>
      <c r="D583" s="100"/>
      <c r="E583" s="99" t="e">
        <f>VLOOKUP($C583,xe!$A:$B,2,0)</f>
        <v>#N/A</v>
      </c>
      <c r="F583" s="101" t="e">
        <f>VLOOKUP($B583,ma!$A:$B,2,0)</f>
        <v>#N/A</v>
      </c>
      <c r="G583" s="102"/>
      <c r="H583" s="103"/>
      <c r="I583" s="104"/>
      <c r="J583" s="99"/>
      <c r="K583" s="106"/>
      <c r="L583" s="107">
        <f t="shared" si="77"/>
        <v>0</v>
      </c>
      <c r="M583" s="104"/>
      <c r="N583" s="101"/>
      <c r="O583" s="101">
        <v>1</v>
      </c>
      <c r="P583" s="104" t="e">
        <f>VLOOKUP($B583,ma!$A:$C,3,0)</f>
        <v>#N/A</v>
      </c>
      <c r="Q583" s="140">
        <v>860000</v>
      </c>
      <c r="R583" s="138">
        <v>7.5999999999999998E-2</v>
      </c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spans="1:27" ht="14">
      <c r="A584" s="97">
        <f t="shared" si="78"/>
        <v>37</v>
      </c>
      <c r="B584" s="98"/>
      <c r="C584" s="99"/>
      <c r="D584" s="100"/>
      <c r="E584" s="99" t="e">
        <f>VLOOKUP($C584,xe!$A:$B,2,0)</f>
        <v>#N/A</v>
      </c>
      <c r="F584" s="101" t="e">
        <f>VLOOKUP($B584,ma!$A:$B,2,0)</f>
        <v>#N/A</v>
      </c>
      <c r="G584" s="102"/>
      <c r="H584" s="103"/>
      <c r="I584" s="104"/>
      <c r="J584" s="99"/>
      <c r="K584" s="106"/>
      <c r="L584" s="107">
        <f t="shared" si="77"/>
        <v>0</v>
      </c>
      <c r="M584" s="104"/>
      <c r="N584" s="101"/>
      <c r="O584" s="101">
        <v>1</v>
      </c>
      <c r="P584" s="104" t="e">
        <f>VLOOKUP($B584,ma!$A:$C,3,0)</f>
        <v>#N/A</v>
      </c>
      <c r="Q584" s="140">
        <v>860000</v>
      </c>
      <c r="R584" s="138">
        <v>7.5999999999999998E-2</v>
      </c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spans="1:27" ht="14">
      <c r="A585" s="97">
        <f t="shared" si="78"/>
        <v>38</v>
      </c>
      <c r="B585" s="98"/>
      <c r="C585" s="99"/>
      <c r="D585" s="100"/>
      <c r="E585" s="99" t="e">
        <f>VLOOKUP($C585,xe!$A:$B,2,0)</f>
        <v>#N/A</v>
      </c>
      <c r="F585" s="101" t="e">
        <f>VLOOKUP($B585,ma!$A:$B,2,0)</f>
        <v>#N/A</v>
      </c>
      <c r="G585" s="102"/>
      <c r="H585" s="103"/>
      <c r="I585" s="104"/>
      <c r="J585" s="99"/>
      <c r="K585" s="106"/>
      <c r="L585" s="107">
        <f t="shared" si="77"/>
        <v>0</v>
      </c>
      <c r="M585" s="104"/>
      <c r="N585" s="101"/>
      <c r="O585" s="101">
        <v>1</v>
      </c>
      <c r="P585" s="104" t="e">
        <f>VLOOKUP($B585,ma!$A:$C,3,0)</f>
        <v>#N/A</v>
      </c>
      <c r="Q585" s="140">
        <v>860000</v>
      </c>
      <c r="R585" s="138">
        <v>7.5999999999999998E-2</v>
      </c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spans="1:27" ht="14">
      <c r="A586" s="97">
        <f t="shared" si="78"/>
        <v>39</v>
      </c>
      <c r="B586" s="98"/>
      <c r="C586" s="99"/>
      <c r="D586" s="100"/>
      <c r="E586" s="99" t="e">
        <f>VLOOKUP($C586,xe!$A:$B,2,0)</f>
        <v>#N/A</v>
      </c>
      <c r="F586" s="101" t="e">
        <f>VLOOKUP($B586,ma!$A:$B,2,0)</f>
        <v>#N/A</v>
      </c>
      <c r="G586" s="102"/>
      <c r="H586" s="103"/>
      <c r="I586" s="104"/>
      <c r="J586" s="99"/>
      <c r="K586" s="106"/>
      <c r="L586" s="107">
        <f t="shared" si="77"/>
        <v>0</v>
      </c>
      <c r="M586" s="104"/>
      <c r="N586" s="101"/>
      <c r="O586" s="101">
        <v>1</v>
      </c>
      <c r="P586" s="104" t="e">
        <f>VLOOKUP($B586,ma!$A:$C,3,0)</f>
        <v>#N/A</v>
      </c>
      <c r="Q586" s="140">
        <v>860000</v>
      </c>
      <c r="R586" s="138">
        <v>7.5999999999999998E-2</v>
      </c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spans="1:27" ht="14">
      <c r="A587" s="97">
        <f t="shared" si="78"/>
        <v>40</v>
      </c>
      <c r="B587" s="98"/>
      <c r="C587" s="99"/>
      <c r="D587" s="100"/>
      <c r="E587" s="99" t="e">
        <f>VLOOKUP($C587,xe!$A:$B,2,0)</f>
        <v>#N/A</v>
      </c>
      <c r="F587" s="101" t="e">
        <f>VLOOKUP($B587,ma!$A:$B,2,0)</f>
        <v>#N/A</v>
      </c>
      <c r="G587" s="102"/>
      <c r="H587" s="103"/>
      <c r="I587" s="104"/>
      <c r="J587" s="99"/>
      <c r="K587" s="106"/>
      <c r="L587" s="107">
        <f t="shared" si="77"/>
        <v>0</v>
      </c>
      <c r="M587" s="104"/>
      <c r="N587" s="101"/>
      <c r="O587" s="101">
        <v>1</v>
      </c>
      <c r="P587" s="104" t="e">
        <f>VLOOKUP($B587,ma!$A:$C,3,0)</f>
        <v>#N/A</v>
      </c>
      <c r="Q587" s="140">
        <v>860000</v>
      </c>
      <c r="R587" s="138">
        <v>7.5999999999999998E-2</v>
      </c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spans="1:27" ht="14">
      <c r="A588" s="97">
        <f t="shared" si="78"/>
        <v>41</v>
      </c>
      <c r="B588" s="98"/>
      <c r="C588" s="99"/>
      <c r="D588" s="100"/>
      <c r="E588" s="99" t="e">
        <f>VLOOKUP($C588,xe!$A:$B,2,0)</f>
        <v>#N/A</v>
      </c>
      <c r="F588" s="101" t="e">
        <f>VLOOKUP($B588,ma!$A:$B,2,0)</f>
        <v>#N/A</v>
      </c>
      <c r="G588" s="102"/>
      <c r="H588" s="103"/>
      <c r="I588" s="104"/>
      <c r="J588" s="99"/>
      <c r="K588" s="106"/>
      <c r="L588" s="107">
        <f t="shared" si="77"/>
        <v>0</v>
      </c>
      <c r="M588" s="104"/>
      <c r="N588" s="101"/>
      <c r="O588" s="101">
        <v>1</v>
      </c>
      <c r="P588" s="104" t="e">
        <f>VLOOKUP($B588,ma!$A:$C,3,0)</f>
        <v>#N/A</v>
      </c>
      <c r="Q588" s="140">
        <v>860000</v>
      </c>
      <c r="R588" s="138">
        <v>7.5999999999999998E-2</v>
      </c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spans="1:27" ht="14">
      <c r="A589" s="97">
        <f t="shared" si="78"/>
        <v>42</v>
      </c>
      <c r="B589" s="98"/>
      <c r="C589" s="99"/>
      <c r="D589" s="100"/>
      <c r="E589" s="99" t="e">
        <f>VLOOKUP($C589,xe!$A:$B,2,0)</f>
        <v>#N/A</v>
      </c>
      <c r="F589" s="101" t="e">
        <f>VLOOKUP($B589,ma!$A:$B,2,0)</f>
        <v>#N/A</v>
      </c>
      <c r="G589" s="102"/>
      <c r="H589" s="103"/>
      <c r="I589" s="104"/>
      <c r="J589" s="99"/>
      <c r="K589" s="106"/>
      <c r="L589" s="107">
        <f t="shared" si="77"/>
        <v>0</v>
      </c>
      <c r="M589" s="104"/>
      <c r="N589" s="101"/>
      <c r="O589" s="101">
        <v>1</v>
      </c>
      <c r="P589" s="104" t="e">
        <f>VLOOKUP($B589,ma!$A:$C,3,0)</f>
        <v>#N/A</v>
      </c>
      <c r="Q589" s="140">
        <v>860000</v>
      </c>
      <c r="R589" s="138">
        <v>7.5999999999999998E-2</v>
      </c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spans="1:27" ht="14">
      <c r="A590" s="97">
        <f t="shared" si="78"/>
        <v>43</v>
      </c>
      <c r="B590" s="98"/>
      <c r="C590" s="99"/>
      <c r="D590" s="100"/>
      <c r="E590" s="99" t="e">
        <f>VLOOKUP($C590,xe!$A:$B,2,0)</f>
        <v>#N/A</v>
      </c>
      <c r="F590" s="101" t="e">
        <f>VLOOKUP($B590,ma!$A:$B,2,0)</f>
        <v>#N/A</v>
      </c>
      <c r="G590" s="102"/>
      <c r="H590" s="103"/>
      <c r="I590" s="104"/>
      <c r="J590" s="99"/>
      <c r="K590" s="106"/>
      <c r="L590" s="107">
        <f t="shared" si="77"/>
        <v>0</v>
      </c>
      <c r="M590" s="104"/>
      <c r="N590" s="101"/>
      <c r="O590" s="101">
        <v>1</v>
      </c>
      <c r="P590" s="104" t="e">
        <f>VLOOKUP($B590,ma!$A:$C,3,0)</f>
        <v>#N/A</v>
      </c>
      <c r="Q590" s="140">
        <v>860000</v>
      </c>
      <c r="R590" s="138">
        <v>7.5999999999999998E-2</v>
      </c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spans="1:27" ht="14">
      <c r="A591" s="97">
        <f t="shared" si="78"/>
        <v>44</v>
      </c>
      <c r="B591" s="98"/>
      <c r="C591" s="99"/>
      <c r="D591" s="100"/>
      <c r="E591" s="99" t="e">
        <f>VLOOKUP($C591,xe!$A:$B,2,0)</f>
        <v>#N/A</v>
      </c>
      <c r="F591" s="101" t="e">
        <f>VLOOKUP($B591,ma!$A:$B,2,0)</f>
        <v>#N/A</v>
      </c>
      <c r="G591" s="102"/>
      <c r="H591" s="103"/>
      <c r="I591" s="104"/>
      <c r="J591" s="99"/>
      <c r="K591" s="106"/>
      <c r="L591" s="107">
        <f t="shared" si="77"/>
        <v>0</v>
      </c>
      <c r="M591" s="104"/>
      <c r="N591" s="101"/>
      <c r="O591" s="101">
        <v>1</v>
      </c>
      <c r="P591" s="104" t="e">
        <f>VLOOKUP($B591,ma!$A:$C,3,0)</f>
        <v>#N/A</v>
      </c>
      <c r="Q591" s="140">
        <v>860000</v>
      </c>
      <c r="R591" s="138">
        <v>7.5999999999999998E-2</v>
      </c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spans="1:27" ht="14">
      <c r="A592" s="97">
        <f t="shared" si="78"/>
        <v>45</v>
      </c>
      <c r="B592" s="98"/>
      <c r="C592" s="99"/>
      <c r="D592" s="100"/>
      <c r="E592" s="99" t="e">
        <f>VLOOKUP($C592,xe!$A:$B,2,0)</f>
        <v>#N/A</v>
      </c>
      <c r="F592" s="101" t="e">
        <f>VLOOKUP($B592,ma!$A:$B,2,0)</f>
        <v>#N/A</v>
      </c>
      <c r="G592" s="102"/>
      <c r="H592" s="103"/>
      <c r="I592" s="104"/>
      <c r="J592" s="99"/>
      <c r="K592" s="106"/>
      <c r="L592" s="107">
        <f t="shared" si="77"/>
        <v>0</v>
      </c>
      <c r="M592" s="104"/>
      <c r="N592" s="101"/>
      <c r="O592" s="101">
        <v>1</v>
      </c>
      <c r="P592" s="104" t="e">
        <f>VLOOKUP($B592,ma!$A:$C,3,0)</f>
        <v>#N/A</v>
      </c>
      <c r="Q592" s="140">
        <v>860000</v>
      </c>
      <c r="R592" s="138">
        <v>7.5999999999999998E-2</v>
      </c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spans="1:27" ht="14">
      <c r="A593" s="97">
        <f t="shared" si="78"/>
        <v>46</v>
      </c>
      <c r="B593" s="98"/>
      <c r="C593" s="99"/>
      <c r="D593" s="100"/>
      <c r="E593" s="99" t="e">
        <f>VLOOKUP($C593,xe!$A:$B,2,0)</f>
        <v>#N/A</v>
      </c>
      <c r="F593" s="101" t="e">
        <f>VLOOKUP($B593,ma!$A:$B,2,0)</f>
        <v>#N/A</v>
      </c>
      <c r="G593" s="102"/>
      <c r="H593" s="103"/>
      <c r="I593" s="104"/>
      <c r="J593" s="99"/>
      <c r="K593" s="106"/>
      <c r="L593" s="107">
        <f t="shared" si="77"/>
        <v>0</v>
      </c>
      <c r="M593" s="104"/>
      <c r="N593" s="101"/>
      <c r="O593" s="101">
        <v>1</v>
      </c>
      <c r="P593" s="104" t="e">
        <f>VLOOKUP($B593,ma!$A:$C,3,0)</f>
        <v>#N/A</v>
      </c>
      <c r="Q593" s="140">
        <v>860000</v>
      </c>
      <c r="R593" s="138">
        <v>7.5999999999999998E-2</v>
      </c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spans="1:27" ht="14">
      <c r="A594" s="97">
        <f t="shared" si="78"/>
        <v>47</v>
      </c>
      <c r="B594" s="98"/>
      <c r="C594" s="99"/>
      <c r="D594" s="100"/>
      <c r="E594" s="99" t="e">
        <f>VLOOKUP($C594,xe!$A:$B,2,0)</f>
        <v>#N/A</v>
      </c>
      <c r="F594" s="101" t="e">
        <f>VLOOKUP($B594,ma!$A:$B,2,0)</f>
        <v>#N/A</v>
      </c>
      <c r="G594" s="102"/>
      <c r="H594" s="103"/>
      <c r="I594" s="104"/>
      <c r="J594" s="99"/>
      <c r="K594" s="106"/>
      <c r="L594" s="107">
        <f t="shared" si="77"/>
        <v>0</v>
      </c>
      <c r="M594" s="104"/>
      <c r="N594" s="101"/>
      <c r="O594" s="101">
        <v>1</v>
      </c>
      <c r="P594" s="104" t="e">
        <f>VLOOKUP($B594,ma!$A:$C,3,0)</f>
        <v>#N/A</v>
      </c>
      <c r="Q594" s="140">
        <v>860000</v>
      </c>
      <c r="R594" s="138">
        <v>7.5999999999999998E-2</v>
      </c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spans="1:27" ht="14">
      <c r="A595" s="97">
        <f t="shared" si="78"/>
        <v>48</v>
      </c>
      <c r="B595" s="98"/>
      <c r="C595" s="99"/>
      <c r="D595" s="100"/>
      <c r="E595" s="99" t="e">
        <f>VLOOKUP($C595,xe!$A:$B,2,0)</f>
        <v>#N/A</v>
      </c>
      <c r="F595" s="101" t="e">
        <f>VLOOKUP($B595,ma!$A:$B,2,0)</f>
        <v>#N/A</v>
      </c>
      <c r="G595" s="102"/>
      <c r="H595" s="103"/>
      <c r="I595" s="104"/>
      <c r="J595" s="99"/>
      <c r="K595" s="106"/>
      <c r="L595" s="107">
        <f t="shared" si="77"/>
        <v>0</v>
      </c>
      <c r="M595" s="104"/>
      <c r="N595" s="101"/>
      <c r="O595" s="101">
        <v>1</v>
      </c>
      <c r="P595" s="104" t="e">
        <f>VLOOKUP($B595,ma!$A:$C,3,0)</f>
        <v>#N/A</v>
      </c>
      <c r="Q595" s="140">
        <v>860000</v>
      </c>
      <c r="R595" s="138">
        <v>7.5999999999999998E-2</v>
      </c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spans="1:27" ht="14">
      <c r="A596" s="97">
        <f t="shared" si="78"/>
        <v>49</v>
      </c>
      <c r="B596" s="98"/>
      <c r="C596" s="99"/>
      <c r="D596" s="100"/>
      <c r="E596" s="99" t="e">
        <f>VLOOKUP($C596,xe!$A:$B,2,0)</f>
        <v>#N/A</v>
      </c>
      <c r="F596" s="101" t="e">
        <f>VLOOKUP($B596,ma!$A:$B,2,0)</f>
        <v>#N/A</v>
      </c>
      <c r="G596" s="102"/>
      <c r="H596" s="103"/>
      <c r="I596" s="104"/>
      <c r="J596" s="99"/>
      <c r="K596" s="106"/>
      <c r="L596" s="107">
        <f t="shared" si="77"/>
        <v>0</v>
      </c>
      <c r="M596" s="104"/>
      <c r="N596" s="101"/>
      <c r="O596" s="101">
        <v>1</v>
      </c>
      <c r="P596" s="104" t="e">
        <f>VLOOKUP($B596,ma!$A:$C,3,0)</f>
        <v>#N/A</v>
      </c>
      <c r="Q596" s="140">
        <v>860000</v>
      </c>
      <c r="R596" s="138">
        <v>7.5999999999999998E-2</v>
      </c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spans="1:27" ht="14">
      <c r="A597" s="97">
        <f t="shared" si="78"/>
        <v>50</v>
      </c>
      <c r="B597" s="98"/>
      <c r="C597" s="99"/>
      <c r="D597" s="100"/>
      <c r="E597" s="99" t="e">
        <f>VLOOKUP($C597,xe!$A:$B,2,0)</f>
        <v>#N/A</v>
      </c>
      <c r="F597" s="101" t="e">
        <f>VLOOKUP($B597,ma!$A:$B,2,0)</f>
        <v>#N/A</v>
      </c>
      <c r="G597" s="102"/>
      <c r="H597" s="103"/>
      <c r="I597" s="104"/>
      <c r="J597" s="99"/>
      <c r="K597" s="106"/>
      <c r="L597" s="107">
        <f t="shared" si="77"/>
        <v>0</v>
      </c>
      <c r="M597" s="104"/>
      <c r="N597" s="101"/>
      <c r="O597" s="101">
        <v>1</v>
      </c>
      <c r="P597" s="104" t="e">
        <f>VLOOKUP($B597,ma!$A:$C,3,0)</f>
        <v>#N/A</v>
      </c>
      <c r="Q597" s="140">
        <v>860000</v>
      </c>
      <c r="R597" s="138">
        <v>7.5999999999999998E-2</v>
      </c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spans="1:27" ht="14">
      <c r="A598" s="97">
        <f t="shared" si="78"/>
        <v>51</v>
      </c>
      <c r="B598" s="98"/>
      <c r="C598" s="99"/>
      <c r="D598" s="100"/>
      <c r="E598" s="99" t="e">
        <f>VLOOKUP($C598,xe!$A:$B,2,0)</f>
        <v>#N/A</v>
      </c>
      <c r="F598" s="101" t="e">
        <f>VLOOKUP($B598,ma!$A:$B,2,0)</f>
        <v>#N/A</v>
      </c>
      <c r="G598" s="102"/>
      <c r="H598" s="103"/>
      <c r="I598" s="104"/>
      <c r="J598" s="99"/>
      <c r="K598" s="106"/>
      <c r="L598" s="107">
        <f t="shared" si="77"/>
        <v>0</v>
      </c>
      <c r="M598" s="104"/>
      <c r="N598" s="101"/>
      <c r="O598" s="101">
        <v>1</v>
      </c>
      <c r="P598" s="104" t="e">
        <f>VLOOKUP($B598,ma!$A:$C,3,0)</f>
        <v>#N/A</v>
      </c>
      <c r="Q598" s="140">
        <v>860000</v>
      </c>
      <c r="R598" s="138">
        <v>7.5999999999999998E-2</v>
      </c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spans="1:27" ht="14">
      <c r="A599" s="97">
        <f t="shared" si="78"/>
        <v>52</v>
      </c>
      <c r="B599" s="98"/>
      <c r="C599" s="99"/>
      <c r="D599" s="100"/>
      <c r="E599" s="99" t="e">
        <f>VLOOKUP($C599,xe!$A:$B,2,0)</f>
        <v>#N/A</v>
      </c>
      <c r="F599" s="101" t="e">
        <f>VLOOKUP($B599,ma!$A:$B,2,0)</f>
        <v>#N/A</v>
      </c>
      <c r="G599" s="102"/>
      <c r="H599" s="103"/>
      <c r="I599" s="104"/>
      <c r="J599" s="99"/>
      <c r="K599" s="106"/>
      <c r="L599" s="107">
        <f t="shared" si="77"/>
        <v>0</v>
      </c>
      <c r="M599" s="104"/>
      <c r="N599" s="101"/>
      <c r="O599" s="101">
        <v>1</v>
      </c>
      <c r="P599" s="104" t="e">
        <f>VLOOKUP($B599,ma!$A:$C,3,0)</f>
        <v>#N/A</v>
      </c>
      <c r="Q599" s="140">
        <v>860000</v>
      </c>
      <c r="R599" s="138">
        <v>7.5999999999999998E-2</v>
      </c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spans="1:27" ht="14">
      <c r="A600" s="97">
        <f t="shared" si="78"/>
        <v>53</v>
      </c>
      <c r="B600" s="98"/>
      <c r="C600" s="99"/>
      <c r="D600" s="100"/>
      <c r="E600" s="99" t="e">
        <f>VLOOKUP($C600,xe!$A:$B,2,0)</f>
        <v>#N/A</v>
      </c>
      <c r="F600" s="101" t="e">
        <f>VLOOKUP($B600,ma!$A:$B,2,0)</f>
        <v>#N/A</v>
      </c>
      <c r="G600" s="102"/>
      <c r="H600" s="103"/>
      <c r="I600" s="104"/>
      <c r="J600" s="99"/>
      <c r="K600" s="106"/>
      <c r="L600" s="107">
        <f t="shared" si="77"/>
        <v>0</v>
      </c>
      <c r="M600" s="104"/>
      <c r="N600" s="101"/>
      <c r="O600" s="101">
        <v>1</v>
      </c>
      <c r="P600" s="104" t="e">
        <f>VLOOKUP($B600,ma!$A:$C,3,0)</f>
        <v>#N/A</v>
      </c>
      <c r="Q600" s="140">
        <v>860000</v>
      </c>
      <c r="R600" s="138">
        <v>7.5999999999999998E-2</v>
      </c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spans="1:27" ht="14">
      <c r="A601" s="97">
        <f t="shared" si="78"/>
        <v>54</v>
      </c>
      <c r="B601" s="98"/>
      <c r="C601" s="99"/>
      <c r="D601" s="100"/>
      <c r="E601" s="99" t="e">
        <f>VLOOKUP($C601,xe!$A:$B,2,0)</f>
        <v>#N/A</v>
      </c>
      <c r="F601" s="101" t="e">
        <f>VLOOKUP($B601,ma!$A:$B,2,0)</f>
        <v>#N/A</v>
      </c>
      <c r="G601" s="102"/>
      <c r="H601" s="103"/>
      <c r="I601" s="104"/>
      <c r="J601" s="99"/>
      <c r="K601" s="106"/>
      <c r="L601" s="107">
        <f t="shared" si="77"/>
        <v>0</v>
      </c>
      <c r="M601" s="104"/>
      <c r="N601" s="101"/>
      <c r="O601" s="101">
        <v>1</v>
      </c>
      <c r="P601" s="104" t="e">
        <f>VLOOKUP($B601,ma!$A:$C,3,0)</f>
        <v>#N/A</v>
      </c>
      <c r="Q601" s="140">
        <v>860000</v>
      </c>
      <c r="R601" s="138">
        <v>7.5999999999999998E-2</v>
      </c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spans="1:27" ht="14">
      <c r="A602" s="97">
        <f t="shared" si="78"/>
        <v>55</v>
      </c>
      <c r="B602" s="98"/>
      <c r="C602" s="99"/>
      <c r="D602" s="100"/>
      <c r="E602" s="99" t="e">
        <f>VLOOKUP($C602,xe!$A:$B,2,0)</f>
        <v>#N/A</v>
      </c>
      <c r="F602" s="101" t="e">
        <f>VLOOKUP($B602,ma!$A:$B,2,0)</f>
        <v>#N/A</v>
      </c>
      <c r="G602" s="102"/>
      <c r="H602" s="103"/>
      <c r="I602" s="104"/>
      <c r="J602" s="99"/>
      <c r="K602" s="106"/>
      <c r="L602" s="107">
        <f t="shared" si="77"/>
        <v>0</v>
      </c>
      <c r="M602" s="104"/>
      <c r="N602" s="101"/>
      <c r="O602" s="101">
        <v>1</v>
      </c>
      <c r="P602" s="104" t="e">
        <f>VLOOKUP($B602,ma!$A:$C,3,0)</f>
        <v>#N/A</v>
      </c>
      <c r="Q602" s="140">
        <v>860000</v>
      </c>
      <c r="R602" s="138">
        <v>7.5999999999999998E-2</v>
      </c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spans="1:27" ht="14">
      <c r="A603" s="97">
        <f t="shared" si="78"/>
        <v>56</v>
      </c>
      <c r="B603" s="98"/>
      <c r="C603" s="99"/>
      <c r="D603" s="100"/>
      <c r="E603" s="99" t="e">
        <f>VLOOKUP($C603,xe!$A:$B,2,0)</f>
        <v>#N/A</v>
      </c>
      <c r="F603" s="101" t="e">
        <f>VLOOKUP($B603,ma!$A:$B,2,0)</f>
        <v>#N/A</v>
      </c>
      <c r="G603" s="102"/>
      <c r="H603" s="103"/>
      <c r="I603" s="104"/>
      <c r="J603" s="99"/>
      <c r="K603" s="106"/>
      <c r="L603" s="107">
        <f t="shared" si="77"/>
        <v>0</v>
      </c>
      <c r="M603" s="104"/>
      <c r="N603" s="101"/>
      <c r="O603" s="101">
        <v>1</v>
      </c>
      <c r="P603" s="104" t="e">
        <f>VLOOKUP($B603,ma!$A:$C,3,0)</f>
        <v>#N/A</v>
      </c>
      <c r="Q603" s="140">
        <v>860000</v>
      </c>
      <c r="R603" s="138">
        <v>7.5999999999999998E-2</v>
      </c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spans="1:27" ht="14">
      <c r="A604" s="97">
        <f t="shared" si="78"/>
        <v>57</v>
      </c>
      <c r="B604" s="98"/>
      <c r="C604" s="99"/>
      <c r="D604" s="100"/>
      <c r="E604" s="99" t="e">
        <f>VLOOKUP($C604,xe!$A:$B,2,0)</f>
        <v>#N/A</v>
      </c>
      <c r="F604" s="101" t="e">
        <f>VLOOKUP($B604,ma!$A:$B,2,0)</f>
        <v>#N/A</v>
      </c>
      <c r="G604" s="102"/>
      <c r="H604" s="103"/>
      <c r="I604" s="104"/>
      <c r="J604" s="99"/>
      <c r="K604" s="106"/>
      <c r="L604" s="107">
        <f t="shared" si="77"/>
        <v>0</v>
      </c>
      <c r="M604" s="104"/>
      <c r="N604" s="101"/>
      <c r="O604" s="101">
        <v>1</v>
      </c>
      <c r="P604" s="104" t="e">
        <f>VLOOKUP($B604,ma!$A:$C,3,0)</f>
        <v>#N/A</v>
      </c>
      <c r="Q604" s="140">
        <v>860000</v>
      </c>
      <c r="R604" s="138">
        <v>7.5999999999999998E-2</v>
      </c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spans="1:27" ht="14">
      <c r="A605" s="97">
        <f t="shared" si="78"/>
        <v>58</v>
      </c>
      <c r="B605" s="98"/>
      <c r="C605" s="99"/>
      <c r="D605" s="100"/>
      <c r="E605" s="99" t="e">
        <f>VLOOKUP($C605,xe!$A:$B,2,0)</f>
        <v>#N/A</v>
      </c>
      <c r="F605" s="101" t="e">
        <f>VLOOKUP($B605,ma!$A:$B,2,0)</f>
        <v>#N/A</v>
      </c>
      <c r="G605" s="102"/>
      <c r="H605" s="103"/>
      <c r="I605" s="104"/>
      <c r="J605" s="99"/>
      <c r="K605" s="106"/>
      <c r="L605" s="107">
        <f t="shared" si="77"/>
        <v>0</v>
      </c>
      <c r="M605" s="104"/>
      <c r="N605" s="101"/>
      <c r="O605" s="101">
        <v>1</v>
      </c>
      <c r="P605" s="104" t="e">
        <f>VLOOKUP($B605,ma!$A:$C,3,0)</f>
        <v>#N/A</v>
      </c>
      <c r="Q605" s="140">
        <v>860000</v>
      </c>
      <c r="R605" s="138">
        <v>7.5999999999999998E-2</v>
      </c>
      <c r="S605" s="111"/>
      <c r="T605" s="111"/>
      <c r="U605" s="111"/>
      <c r="V605" s="111"/>
      <c r="W605" s="111"/>
      <c r="X605" s="111"/>
      <c r="Y605" s="111"/>
      <c r="Z605" s="111"/>
      <c r="AA605" s="111"/>
    </row>
    <row r="606" spans="1:27" ht="14">
      <c r="A606" s="97">
        <f t="shared" si="78"/>
        <v>59</v>
      </c>
      <c r="B606" s="98"/>
      <c r="C606" s="99"/>
      <c r="D606" s="100"/>
      <c r="E606" s="99" t="e">
        <f>VLOOKUP($C606,xe!$A:$B,2,0)</f>
        <v>#N/A</v>
      </c>
      <c r="F606" s="101" t="e">
        <f>VLOOKUP($B606,ma!$A:$B,2,0)</f>
        <v>#N/A</v>
      </c>
      <c r="G606" s="102"/>
      <c r="H606" s="103"/>
      <c r="I606" s="104"/>
      <c r="J606" s="99"/>
      <c r="K606" s="106"/>
      <c r="L606" s="107">
        <f t="shared" si="77"/>
        <v>0</v>
      </c>
      <c r="M606" s="104"/>
      <c r="N606" s="101"/>
      <c r="O606" s="101">
        <v>1</v>
      </c>
      <c r="P606" s="104" t="e">
        <f>VLOOKUP($B606,ma!$A:$C,3,0)</f>
        <v>#N/A</v>
      </c>
      <c r="Q606" s="140">
        <v>860000</v>
      </c>
      <c r="R606" s="138">
        <v>7.5999999999999998E-2</v>
      </c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spans="1:27" ht="14">
      <c r="A607" s="97">
        <f t="shared" si="78"/>
        <v>60</v>
      </c>
      <c r="B607" s="98"/>
      <c r="C607" s="99"/>
      <c r="D607" s="100"/>
      <c r="E607" s="99" t="e">
        <f>VLOOKUP($C607,xe!$A:$B,2,0)</f>
        <v>#N/A</v>
      </c>
      <c r="F607" s="101" t="e">
        <f>VLOOKUP($B607,ma!$A:$B,2,0)</f>
        <v>#N/A</v>
      </c>
      <c r="G607" s="102"/>
      <c r="H607" s="103"/>
      <c r="I607" s="104"/>
      <c r="J607" s="99"/>
      <c r="K607" s="106"/>
      <c r="L607" s="107">
        <f t="shared" si="77"/>
        <v>0</v>
      </c>
      <c r="M607" s="104"/>
      <c r="N607" s="101"/>
      <c r="O607" s="101">
        <v>1</v>
      </c>
      <c r="P607" s="104" t="e">
        <f>VLOOKUP($B607,ma!$A:$C,3,0)</f>
        <v>#N/A</v>
      </c>
      <c r="Q607" s="140">
        <v>860000</v>
      </c>
      <c r="R607" s="138">
        <v>7.5999999999999998E-2</v>
      </c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spans="1:27" ht="14">
      <c r="A608" s="97">
        <f t="shared" si="78"/>
        <v>61</v>
      </c>
      <c r="B608" s="98"/>
      <c r="C608" s="99"/>
      <c r="D608" s="100"/>
      <c r="E608" s="99" t="e">
        <f>VLOOKUP($C608,xe!$A:$B,2,0)</f>
        <v>#N/A</v>
      </c>
      <c r="F608" s="101" t="e">
        <f>VLOOKUP($B608,ma!$A:$B,2,0)</f>
        <v>#N/A</v>
      </c>
      <c r="G608" s="102"/>
      <c r="H608" s="103"/>
      <c r="I608" s="104"/>
      <c r="J608" s="99"/>
      <c r="K608" s="106"/>
      <c r="L608" s="107">
        <f t="shared" si="77"/>
        <v>0</v>
      </c>
      <c r="M608" s="104"/>
      <c r="N608" s="101"/>
      <c r="O608" s="101">
        <v>1</v>
      </c>
      <c r="P608" s="104" t="e">
        <f>VLOOKUP($B608,ma!$A:$C,3,0)</f>
        <v>#N/A</v>
      </c>
      <c r="Q608" s="140">
        <v>860000</v>
      </c>
      <c r="R608" s="138">
        <v>7.5999999999999998E-2</v>
      </c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spans="1:27" ht="14">
      <c r="A609" s="97">
        <f t="shared" si="78"/>
        <v>62</v>
      </c>
      <c r="B609" s="98"/>
      <c r="C609" s="99"/>
      <c r="D609" s="100"/>
      <c r="E609" s="99" t="e">
        <f>VLOOKUP($C609,xe!$A:$B,2,0)</f>
        <v>#N/A</v>
      </c>
      <c r="F609" s="101" t="e">
        <f>VLOOKUP($B609,ma!$A:$B,2,0)</f>
        <v>#N/A</v>
      </c>
      <c r="G609" s="102"/>
      <c r="H609" s="103"/>
      <c r="I609" s="104"/>
      <c r="J609" s="99"/>
      <c r="K609" s="106"/>
      <c r="L609" s="107">
        <f t="shared" si="77"/>
        <v>0</v>
      </c>
      <c r="M609" s="104"/>
      <c r="N609" s="101"/>
      <c r="O609" s="101">
        <v>1</v>
      </c>
      <c r="P609" s="104" t="e">
        <f>VLOOKUP($B609,ma!$A:$C,3,0)</f>
        <v>#N/A</v>
      </c>
      <c r="Q609" s="140">
        <v>860000</v>
      </c>
      <c r="R609" s="138">
        <v>7.5999999999999998E-2</v>
      </c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spans="1:27" ht="14">
      <c r="A610" s="97">
        <f t="shared" si="78"/>
        <v>63</v>
      </c>
      <c r="B610" s="98"/>
      <c r="C610" s="99"/>
      <c r="D610" s="100"/>
      <c r="E610" s="99" t="e">
        <f>VLOOKUP($C610,xe!$A:$B,2,0)</f>
        <v>#N/A</v>
      </c>
      <c r="F610" s="101" t="e">
        <f>VLOOKUP($B610,ma!$A:$B,2,0)</f>
        <v>#N/A</v>
      </c>
      <c r="G610" s="102"/>
      <c r="H610" s="103"/>
      <c r="I610" s="104"/>
      <c r="J610" s="99"/>
      <c r="K610" s="106"/>
      <c r="L610" s="107">
        <f t="shared" si="77"/>
        <v>0</v>
      </c>
      <c r="M610" s="104"/>
      <c r="N610" s="101"/>
      <c r="O610" s="101">
        <v>1</v>
      </c>
      <c r="P610" s="104" t="e">
        <f>VLOOKUP($B610,ma!$A:$C,3,0)</f>
        <v>#N/A</v>
      </c>
      <c r="Q610" s="140">
        <v>860000</v>
      </c>
      <c r="R610" s="138">
        <v>7.5999999999999998E-2</v>
      </c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spans="1:27" ht="14">
      <c r="A611" s="97">
        <f t="shared" si="78"/>
        <v>64</v>
      </c>
      <c r="B611" s="98"/>
      <c r="C611" s="99"/>
      <c r="D611" s="100"/>
      <c r="E611" s="99" t="e">
        <f>VLOOKUP($C611,xe!$A:$B,2,0)</f>
        <v>#N/A</v>
      </c>
      <c r="F611" s="101" t="e">
        <f>VLOOKUP($B611,ma!$A:$B,2,0)</f>
        <v>#N/A</v>
      </c>
      <c r="G611" s="102"/>
      <c r="H611" s="103"/>
      <c r="I611" s="104"/>
      <c r="J611" s="99"/>
      <c r="K611" s="106"/>
      <c r="L611" s="107">
        <f t="shared" si="77"/>
        <v>0</v>
      </c>
      <c r="M611" s="104"/>
      <c r="N611" s="101"/>
      <c r="O611" s="101">
        <v>1</v>
      </c>
      <c r="P611" s="104" t="e">
        <f>VLOOKUP($B611,ma!$A:$C,3,0)</f>
        <v>#N/A</v>
      </c>
      <c r="Q611" s="140">
        <v>860000</v>
      </c>
      <c r="R611" s="138">
        <v>7.5999999999999998E-2</v>
      </c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spans="1:27" ht="14">
      <c r="A612" s="97">
        <f t="shared" si="78"/>
        <v>65</v>
      </c>
      <c r="B612" s="98"/>
      <c r="C612" s="99"/>
      <c r="D612" s="100"/>
      <c r="E612" s="99" t="e">
        <f>VLOOKUP($C612,xe!$A:$B,2,0)</f>
        <v>#N/A</v>
      </c>
      <c r="F612" s="101" t="e">
        <f>VLOOKUP($B612,ma!$A:$B,2,0)</f>
        <v>#N/A</v>
      </c>
      <c r="G612" s="102"/>
      <c r="H612" s="103"/>
      <c r="I612" s="104"/>
      <c r="J612" s="99"/>
      <c r="K612" s="106"/>
      <c r="L612" s="107">
        <f t="shared" si="77"/>
        <v>0</v>
      </c>
      <c r="M612" s="104"/>
      <c r="N612" s="101"/>
      <c r="O612" s="101">
        <v>1</v>
      </c>
      <c r="P612" s="104" t="e">
        <f>VLOOKUP($B612,ma!$A:$C,3,0)</f>
        <v>#N/A</v>
      </c>
      <c r="Q612" s="140">
        <v>860000</v>
      </c>
      <c r="R612" s="138">
        <v>7.5999999999999998E-2</v>
      </c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spans="1:27" ht="14">
      <c r="A613" s="97">
        <f t="shared" si="78"/>
        <v>66</v>
      </c>
      <c r="B613" s="98"/>
      <c r="C613" s="99"/>
      <c r="D613" s="100"/>
      <c r="E613" s="99" t="e">
        <f>VLOOKUP($C613,xe!$A:$B,2,0)</f>
        <v>#N/A</v>
      </c>
      <c r="F613" s="101" t="e">
        <f>VLOOKUP($B613,ma!$A:$B,2,0)</f>
        <v>#N/A</v>
      </c>
      <c r="G613" s="102"/>
      <c r="H613" s="103"/>
      <c r="I613" s="104"/>
      <c r="J613" s="99"/>
      <c r="K613" s="106"/>
      <c r="L613" s="107">
        <f t="shared" si="77"/>
        <v>0</v>
      </c>
      <c r="M613" s="104"/>
      <c r="N613" s="101"/>
      <c r="O613" s="101">
        <v>1</v>
      </c>
      <c r="P613" s="104" t="e">
        <f>VLOOKUP($B613,ma!$A:$C,3,0)</f>
        <v>#N/A</v>
      </c>
      <c r="Q613" s="140">
        <v>860000</v>
      </c>
      <c r="R613" s="138">
        <v>7.5999999999999998E-2</v>
      </c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spans="1:27" ht="14">
      <c r="A614" s="97">
        <f t="shared" si="78"/>
        <v>67</v>
      </c>
      <c r="B614" s="98"/>
      <c r="C614" s="99"/>
      <c r="D614" s="100"/>
      <c r="E614" s="99" t="e">
        <f>VLOOKUP($C614,xe!$A:$B,2,0)</f>
        <v>#N/A</v>
      </c>
      <c r="F614" s="101" t="e">
        <f>VLOOKUP($B614,ma!$A:$B,2,0)</f>
        <v>#N/A</v>
      </c>
      <c r="G614" s="102"/>
      <c r="H614" s="103"/>
      <c r="I614" s="104"/>
      <c r="J614" s="99"/>
      <c r="K614" s="106"/>
      <c r="L614" s="107">
        <f t="shared" si="77"/>
        <v>0</v>
      </c>
      <c r="M614" s="104"/>
      <c r="N614" s="101"/>
      <c r="O614" s="101">
        <v>1</v>
      </c>
      <c r="P614" s="104" t="e">
        <f>VLOOKUP($B614,ma!$A:$C,3,0)</f>
        <v>#N/A</v>
      </c>
      <c r="Q614" s="140">
        <v>860000</v>
      </c>
      <c r="R614" s="138">
        <v>7.5999999999999998E-2</v>
      </c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spans="1:27" ht="14">
      <c r="A615" s="97">
        <f t="shared" si="78"/>
        <v>68</v>
      </c>
      <c r="B615" s="98"/>
      <c r="C615" s="99"/>
      <c r="D615" s="100"/>
      <c r="E615" s="99" t="e">
        <f>VLOOKUP($C615,xe!$A:$B,2,0)</f>
        <v>#N/A</v>
      </c>
      <c r="F615" s="101" t="e">
        <f>VLOOKUP($B615,ma!$A:$B,2,0)</f>
        <v>#N/A</v>
      </c>
      <c r="G615" s="102"/>
      <c r="H615" s="103"/>
      <c r="I615" s="104"/>
      <c r="J615" s="99"/>
      <c r="K615" s="106"/>
      <c r="L615" s="107">
        <f t="shared" si="77"/>
        <v>0</v>
      </c>
      <c r="M615" s="104"/>
      <c r="N615" s="101"/>
      <c r="O615" s="101">
        <v>1</v>
      </c>
      <c r="P615" s="104" t="e">
        <f>VLOOKUP($B615,ma!$A:$C,3,0)</f>
        <v>#N/A</v>
      </c>
      <c r="Q615" s="140">
        <v>860000</v>
      </c>
      <c r="R615" s="138">
        <v>7.5999999999999998E-2</v>
      </c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spans="1:27" ht="14">
      <c r="A616" s="97">
        <f t="shared" si="78"/>
        <v>69</v>
      </c>
      <c r="B616" s="98"/>
      <c r="C616" s="99"/>
      <c r="D616" s="100"/>
      <c r="E616" s="99" t="e">
        <f>VLOOKUP($C616,xe!$A:$B,2,0)</f>
        <v>#N/A</v>
      </c>
      <c r="F616" s="101" t="e">
        <f>VLOOKUP($B616,ma!$A:$B,2,0)</f>
        <v>#N/A</v>
      </c>
      <c r="G616" s="102"/>
      <c r="H616" s="103"/>
      <c r="I616" s="104"/>
      <c r="J616" s="99"/>
      <c r="K616" s="106"/>
      <c r="L616" s="107">
        <f t="shared" si="77"/>
        <v>0</v>
      </c>
      <c r="M616" s="104"/>
      <c r="N616" s="101"/>
      <c r="O616" s="101">
        <v>1</v>
      </c>
      <c r="P616" s="104" t="e">
        <f>VLOOKUP($B616,ma!$A:$C,3,0)</f>
        <v>#N/A</v>
      </c>
      <c r="Q616" s="140">
        <v>860000</v>
      </c>
      <c r="R616" s="138">
        <v>7.5999999999999998E-2</v>
      </c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spans="1:27" ht="14">
      <c r="A617" s="97">
        <f t="shared" si="78"/>
        <v>70</v>
      </c>
      <c r="B617" s="98"/>
      <c r="C617" s="99"/>
      <c r="D617" s="100"/>
      <c r="E617" s="99" t="e">
        <f>VLOOKUP($C617,xe!$A:$B,2,0)</f>
        <v>#N/A</v>
      </c>
      <c r="F617" s="101" t="e">
        <f>VLOOKUP($B617,ma!$A:$B,2,0)</f>
        <v>#N/A</v>
      </c>
      <c r="G617" s="102"/>
      <c r="H617" s="103"/>
      <c r="I617" s="104"/>
      <c r="J617" s="99"/>
      <c r="K617" s="106"/>
      <c r="L617" s="107">
        <f t="shared" si="77"/>
        <v>0</v>
      </c>
      <c r="M617" s="104"/>
      <c r="N617" s="101"/>
      <c r="O617" s="101">
        <v>1</v>
      </c>
      <c r="P617" s="104" t="e">
        <f>VLOOKUP($B617,ma!$A:$C,3,0)</f>
        <v>#N/A</v>
      </c>
      <c r="Q617" s="140">
        <v>860000</v>
      </c>
      <c r="R617" s="138">
        <v>7.5999999999999998E-2</v>
      </c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spans="1:27" ht="14">
      <c r="A618" s="97">
        <f t="shared" si="78"/>
        <v>71</v>
      </c>
      <c r="B618" s="98"/>
      <c r="C618" s="99"/>
      <c r="D618" s="100"/>
      <c r="E618" s="99" t="e">
        <f>VLOOKUP($C618,xe!$A:$B,2,0)</f>
        <v>#N/A</v>
      </c>
      <c r="F618" s="101" t="e">
        <f>VLOOKUP($B618,ma!$A:$B,2,0)</f>
        <v>#N/A</v>
      </c>
      <c r="G618" s="102"/>
      <c r="H618" s="103"/>
      <c r="I618" s="104"/>
      <c r="J618" s="99"/>
      <c r="K618" s="106"/>
      <c r="L618" s="107">
        <f t="shared" si="77"/>
        <v>0</v>
      </c>
      <c r="M618" s="104"/>
      <c r="N618" s="101"/>
      <c r="O618" s="101">
        <v>1</v>
      </c>
      <c r="P618" s="104" t="e">
        <f>VLOOKUP($B618,ma!$A:$C,3,0)</f>
        <v>#N/A</v>
      </c>
      <c r="Q618" s="140">
        <v>860000</v>
      </c>
      <c r="R618" s="138">
        <v>7.5999999999999998E-2</v>
      </c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spans="1:27" ht="14">
      <c r="A619" s="97">
        <f t="shared" si="78"/>
        <v>72</v>
      </c>
      <c r="B619" s="98"/>
      <c r="C619" s="99"/>
      <c r="D619" s="100"/>
      <c r="E619" s="99" t="e">
        <f>VLOOKUP($C619,xe!$A:$B,2,0)</f>
        <v>#N/A</v>
      </c>
      <c r="F619" s="101" t="e">
        <f>VLOOKUP($B619,ma!$A:$B,2,0)</f>
        <v>#N/A</v>
      </c>
      <c r="G619" s="102"/>
      <c r="H619" s="103"/>
      <c r="I619" s="104"/>
      <c r="J619" s="99"/>
      <c r="K619" s="106"/>
      <c r="L619" s="107">
        <f t="shared" si="77"/>
        <v>0</v>
      </c>
      <c r="M619" s="104"/>
      <c r="N619" s="101"/>
      <c r="O619" s="101">
        <v>1</v>
      </c>
      <c r="P619" s="104" t="e">
        <f>VLOOKUP($B619,ma!$A:$C,3,0)</f>
        <v>#N/A</v>
      </c>
      <c r="Q619" s="140">
        <v>860000</v>
      </c>
      <c r="R619" s="138">
        <v>7.5999999999999998E-2</v>
      </c>
      <c r="S619" s="111"/>
      <c r="T619" s="111"/>
      <c r="U619" s="111"/>
      <c r="V619" s="111"/>
      <c r="W619" s="111"/>
      <c r="X619" s="111"/>
      <c r="Y619" s="111"/>
      <c r="Z619" s="111"/>
      <c r="AA619" s="111"/>
    </row>
    <row r="620" spans="1:27" ht="14">
      <c r="A620" s="97">
        <f t="shared" si="78"/>
        <v>73</v>
      </c>
      <c r="B620" s="98"/>
      <c r="C620" s="99"/>
      <c r="D620" s="100"/>
      <c r="E620" s="99" t="e">
        <f>VLOOKUP($C620,xe!$A:$B,2,0)</f>
        <v>#N/A</v>
      </c>
      <c r="F620" s="101" t="e">
        <f>VLOOKUP($B620,ma!$A:$B,2,0)</f>
        <v>#N/A</v>
      </c>
      <c r="G620" s="102"/>
      <c r="H620" s="103"/>
      <c r="I620" s="104"/>
      <c r="J620" s="99"/>
      <c r="K620" s="106"/>
      <c r="L620" s="107">
        <f t="shared" si="77"/>
        <v>0</v>
      </c>
      <c r="M620" s="104"/>
      <c r="N620" s="101"/>
      <c r="O620" s="101">
        <v>1</v>
      </c>
      <c r="P620" s="104" t="e">
        <f>VLOOKUP($B620,ma!$A:$C,3,0)</f>
        <v>#N/A</v>
      </c>
      <c r="Q620" s="140">
        <v>860000</v>
      </c>
      <c r="R620" s="138">
        <v>7.5999999999999998E-2</v>
      </c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spans="1:27" ht="14">
      <c r="A621" s="97">
        <f t="shared" si="78"/>
        <v>74</v>
      </c>
      <c r="B621" s="98"/>
      <c r="C621" s="99"/>
      <c r="D621" s="100"/>
      <c r="E621" s="99" t="e">
        <f>VLOOKUP($C621,xe!$A:$B,2,0)</f>
        <v>#N/A</v>
      </c>
      <c r="F621" s="101" t="e">
        <f>VLOOKUP($B621,ma!$A:$B,2,0)</f>
        <v>#N/A</v>
      </c>
      <c r="G621" s="102"/>
      <c r="H621" s="103"/>
      <c r="I621" s="104"/>
      <c r="J621" s="99"/>
      <c r="K621" s="106"/>
      <c r="L621" s="107">
        <f t="shared" si="77"/>
        <v>0</v>
      </c>
      <c r="M621" s="104"/>
      <c r="N621" s="101"/>
      <c r="O621" s="101">
        <v>1</v>
      </c>
      <c r="P621" s="104" t="e">
        <f>VLOOKUP($B621,ma!$A:$C,3,0)</f>
        <v>#N/A</v>
      </c>
      <c r="Q621" s="140">
        <v>860000</v>
      </c>
      <c r="R621" s="138">
        <v>7.5999999999999998E-2</v>
      </c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spans="1:27" ht="14">
      <c r="A622" s="97">
        <f t="shared" si="78"/>
        <v>75</v>
      </c>
      <c r="B622" s="98"/>
      <c r="C622" s="99"/>
      <c r="D622" s="100"/>
      <c r="E622" s="99" t="e">
        <f>VLOOKUP($C622,xe!$A:$B,2,0)</f>
        <v>#N/A</v>
      </c>
      <c r="F622" s="101" t="e">
        <f>VLOOKUP($B622,ma!$A:$B,2,0)</f>
        <v>#N/A</v>
      </c>
      <c r="G622" s="102"/>
      <c r="H622" s="103"/>
      <c r="I622" s="104"/>
      <c r="J622" s="99"/>
      <c r="K622" s="106"/>
      <c r="L622" s="107">
        <f t="shared" si="77"/>
        <v>0</v>
      </c>
      <c r="M622" s="104"/>
      <c r="N622" s="101"/>
      <c r="O622" s="101">
        <v>1</v>
      </c>
      <c r="P622" s="104" t="e">
        <f>VLOOKUP($B622,ma!$A:$C,3,0)</f>
        <v>#N/A</v>
      </c>
      <c r="Q622" s="140">
        <v>860000</v>
      </c>
      <c r="R622" s="138">
        <v>7.5999999999999998E-2</v>
      </c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spans="1:27" ht="14">
      <c r="A623" s="97">
        <f t="shared" si="78"/>
        <v>76</v>
      </c>
      <c r="B623" s="98"/>
      <c r="C623" s="99"/>
      <c r="D623" s="100"/>
      <c r="E623" s="99" t="e">
        <f>VLOOKUP($C623,xe!$A:$B,2,0)</f>
        <v>#N/A</v>
      </c>
      <c r="F623" s="101" t="e">
        <f>VLOOKUP($B623,ma!$A:$B,2,0)</f>
        <v>#N/A</v>
      </c>
      <c r="G623" s="102"/>
      <c r="H623" s="103"/>
      <c r="I623" s="104"/>
      <c r="J623" s="99"/>
      <c r="K623" s="106"/>
      <c r="L623" s="107">
        <f t="shared" si="77"/>
        <v>0</v>
      </c>
      <c r="M623" s="104"/>
      <c r="N623" s="101"/>
      <c r="O623" s="101">
        <v>1</v>
      </c>
      <c r="P623" s="104" t="e">
        <f>VLOOKUP($B623,ma!$A:$C,3,0)</f>
        <v>#N/A</v>
      </c>
      <c r="Q623" s="140">
        <v>860000</v>
      </c>
      <c r="R623" s="138">
        <v>7.5999999999999998E-2</v>
      </c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spans="1:27" ht="14">
      <c r="A624" s="97">
        <f t="shared" si="78"/>
        <v>77</v>
      </c>
      <c r="B624" s="98"/>
      <c r="C624" s="99"/>
      <c r="D624" s="100"/>
      <c r="E624" s="99" t="e">
        <f>VLOOKUP($C624,xe!$A:$B,2,0)</f>
        <v>#N/A</v>
      </c>
      <c r="F624" s="101" t="e">
        <f>VLOOKUP($B624,ma!$A:$B,2,0)</f>
        <v>#N/A</v>
      </c>
      <c r="G624" s="102"/>
      <c r="H624" s="103"/>
      <c r="I624" s="104"/>
      <c r="J624" s="99"/>
      <c r="K624" s="106"/>
      <c r="L624" s="107">
        <f t="shared" si="77"/>
        <v>0</v>
      </c>
      <c r="M624" s="104"/>
      <c r="N624" s="101"/>
      <c r="O624" s="101">
        <v>1</v>
      </c>
      <c r="P624" s="104" t="e">
        <f>VLOOKUP($B624,ma!$A:$C,3,0)</f>
        <v>#N/A</v>
      </c>
      <c r="Q624" s="140">
        <v>860000</v>
      </c>
      <c r="R624" s="138">
        <v>7.5999999999999998E-2</v>
      </c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spans="1:27" ht="14">
      <c r="A625" s="97">
        <f t="shared" si="78"/>
        <v>78</v>
      </c>
      <c r="B625" s="98"/>
      <c r="C625" s="99"/>
      <c r="D625" s="100"/>
      <c r="E625" s="99" t="e">
        <f>VLOOKUP($C625,xe!$A:$B,2,0)</f>
        <v>#N/A</v>
      </c>
      <c r="F625" s="101" t="e">
        <f>VLOOKUP($B625,ma!$A:$B,2,0)</f>
        <v>#N/A</v>
      </c>
      <c r="G625" s="102"/>
      <c r="H625" s="103"/>
      <c r="I625" s="104"/>
      <c r="J625" s="99"/>
      <c r="K625" s="106"/>
      <c r="L625" s="107">
        <f t="shared" si="77"/>
        <v>0</v>
      </c>
      <c r="M625" s="104"/>
      <c r="N625" s="101"/>
      <c r="O625" s="101">
        <v>1</v>
      </c>
      <c r="P625" s="104" t="e">
        <f>VLOOKUP($B625,ma!$A:$C,3,0)</f>
        <v>#N/A</v>
      </c>
      <c r="Q625" s="140">
        <v>860000</v>
      </c>
      <c r="R625" s="138">
        <v>7.5999999999999998E-2</v>
      </c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spans="1:27" ht="14">
      <c r="A626" s="97">
        <f t="shared" si="78"/>
        <v>79</v>
      </c>
      <c r="B626" s="98"/>
      <c r="C626" s="99"/>
      <c r="D626" s="100"/>
      <c r="E626" s="99" t="e">
        <f>VLOOKUP($C626,xe!$A:$B,2,0)</f>
        <v>#N/A</v>
      </c>
      <c r="F626" s="101" t="e">
        <f>VLOOKUP($B626,ma!$A:$B,2,0)</f>
        <v>#N/A</v>
      </c>
      <c r="G626" s="102"/>
      <c r="H626" s="103"/>
      <c r="I626" s="104"/>
      <c r="J626" s="99"/>
      <c r="K626" s="106"/>
      <c r="L626" s="107">
        <f t="shared" si="77"/>
        <v>0</v>
      </c>
      <c r="M626" s="104"/>
      <c r="N626" s="101"/>
      <c r="O626" s="101">
        <v>1</v>
      </c>
      <c r="P626" s="104" t="e">
        <f>VLOOKUP($B626,ma!$A:$C,3,0)</f>
        <v>#N/A</v>
      </c>
      <c r="Q626" s="140">
        <v>860000</v>
      </c>
      <c r="R626" s="138">
        <v>7.5999999999999998E-2</v>
      </c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spans="1:27" ht="14">
      <c r="A627" s="97">
        <f t="shared" si="78"/>
        <v>80</v>
      </c>
      <c r="B627" s="98"/>
      <c r="C627" s="99"/>
      <c r="D627" s="100"/>
      <c r="E627" s="99" t="e">
        <f>VLOOKUP($C627,xe!$A:$B,2,0)</f>
        <v>#N/A</v>
      </c>
      <c r="F627" s="101" t="e">
        <f>VLOOKUP($B627,ma!$A:$B,2,0)</f>
        <v>#N/A</v>
      </c>
      <c r="G627" s="102"/>
      <c r="H627" s="103"/>
      <c r="I627" s="104"/>
      <c r="J627" s="99"/>
      <c r="K627" s="106"/>
      <c r="L627" s="107">
        <f t="shared" si="77"/>
        <v>0</v>
      </c>
      <c r="M627" s="104"/>
      <c r="N627" s="101"/>
      <c r="O627" s="101">
        <v>1</v>
      </c>
      <c r="P627" s="104" t="e">
        <f>VLOOKUP($B627,ma!$A:$C,3,0)</f>
        <v>#N/A</v>
      </c>
      <c r="Q627" s="140">
        <v>860000</v>
      </c>
      <c r="R627" s="138">
        <v>7.5999999999999998E-2</v>
      </c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spans="1:27" ht="14">
      <c r="A628" s="97">
        <f t="shared" si="78"/>
        <v>81</v>
      </c>
      <c r="B628" s="98"/>
      <c r="C628" s="99"/>
      <c r="D628" s="100"/>
      <c r="E628" s="99" t="e">
        <f>VLOOKUP($C628,xe!$A:$B,2,0)</f>
        <v>#N/A</v>
      </c>
      <c r="F628" s="101" t="e">
        <f>VLOOKUP($B628,ma!$A:$B,2,0)</f>
        <v>#N/A</v>
      </c>
      <c r="G628" s="102"/>
      <c r="H628" s="103"/>
      <c r="I628" s="104"/>
      <c r="J628" s="99"/>
      <c r="K628" s="106"/>
      <c r="L628" s="107">
        <f t="shared" si="77"/>
        <v>0</v>
      </c>
      <c r="M628" s="104"/>
      <c r="N628" s="101"/>
      <c r="O628" s="101">
        <v>1</v>
      </c>
      <c r="P628" s="104" t="e">
        <f>VLOOKUP($B628,ma!$A:$C,3,0)</f>
        <v>#N/A</v>
      </c>
      <c r="Q628" s="140">
        <v>860000</v>
      </c>
      <c r="R628" s="138">
        <v>7.5999999999999998E-2</v>
      </c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spans="1:27" ht="14">
      <c r="A629" s="97">
        <f t="shared" si="78"/>
        <v>82</v>
      </c>
      <c r="B629" s="98"/>
      <c r="C629" s="99"/>
      <c r="D629" s="100"/>
      <c r="E629" s="99" t="e">
        <f>VLOOKUP($C629,xe!$A:$B,2,0)</f>
        <v>#N/A</v>
      </c>
      <c r="F629" s="101" t="e">
        <f>VLOOKUP($B629,ma!$A:$B,2,0)</f>
        <v>#N/A</v>
      </c>
      <c r="G629" s="102"/>
      <c r="H629" s="103"/>
      <c r="I629" s="104"/>
      <c r="J629" s="99"/>
      <c r="K629" s="106"/>
      <c r="L629" s="107">
        <f t="shared" si="77"/>
        <v>0</v>
      </c>
      <c r="M629" s="104"/>
      <c r="N629" s="101"/>
      <c r="O629" s="101">
        <v>1</v>
      </c>
      <c r="P629" s="104" t="e">
        <f>VLOOKUP($B629,ma!$A:$C,3,0)</f>
        <v>#N/A</v>
      </c>
      <c r="Q629" s="140">
        <v>860000</v>
      </c>
      <c r="R629" s="138">
        <v>7.5999999999999998E-2</v>
      </c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spans="1:27" ht="14">
      <c r="A630" s="97">
        <f t="shared" si="78"/>
        <v>83</v>
      </c>
      <c r="B630" s="98"/>
      <c r="C630" s="99"/>
      <c r="D630" s="100"/>
      <c r="E630" s="99" t="e">
        <f>VLOOKUP($C630,xe!$A:$B,2,0)</f>
        <v>#N/A</v>
      </c>
      <c r="F630" s="101" t="e">
        <f>VLOOKUP($B630,ma!$A:$B,2,0)</f>
        <v>#N/A</v>
      </c>
      <c r="G630" s="102"/>
      <c r="H630" s="103"/>
      <c r="I630" s="104"/>
      <c r="J630" s="99"/>
      <c r="K630" s="106"/>
      <c r="L630" s="107">
        <f t="shared" si="77"/>
        <v>0</v>
      </c>
      <c r="M630" s="104"/>
      <c r="N630" s="101"/>
      <c r="O630" s="101">
        <v>1</v>
      </c>
      <c r="P630" s="104" t="e">
        <f>VLOOKUP($B630,ma!$A:$C,3,0)</f>
        <v>#N/A</v>
      </c>
      <c r="Q630" s="140">
        <v>860000</v>
      </c>
      <c r="R630" s="138">
        <v>7.5999999999999998E-2</v>
      </c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spans="1:27" ht="14">
      <c r="A631" s="97">
        <f t="shared" si="78"/>
        <v>84</v>
      </c>
      <c r="B631" s="98"/>
      <c r="C631" s="99"/>
      <c r="D631" s="100"/>
      <c r="E631" s="99" t="e">
        <f>VLOOKUP($C631,xe!$A:$B,2,0)</f>
        <v>#N/A</v>
      </c>
      <c r="F631" s="101" t="e">
        <f>VLOOKUP($B631,ma!$A:$B,2,0)</f>
        <v>#N/A</v>
      </c>
      <c r="G631" s="102"/>
      <c r="H631" s="103"/>
      <c r="I631" s="104"/>
      <c r="J631" s="99"/>
      <c r="K631" s="106"/>
      <c r="L631" s="107">
        <f t="shared" si="77"/>
        <v>0</v>
      </c>
      <c r="M631" s="104"/>
      <c r="N631" s="101"/>
      <c r="O631" s="101">
        <v>1</v>
      </c>
      <c r="P631" s="104" t="e">
        <f>VLOOKUP($B631,ma!$A:$C,3,0)</f>
        <v>#N/A</v>
      </c>
      <c r="Q631" s="140">
        <v>860000</v>
      </c>
      <c r="R631" s="138">
        <v>7.5999999999999998E-2</v>
      </c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spans="1:27" ht="14">
      <c r="A632" s="97">
        <f t="shared" si="78"/>
        <v>85</v>
      </c>
      <c r="B632" s="98"/>
      <c r="C632" s="99"/>
      <c r="D632" s="100"/>
      <c r="E632" s="99" t="e">
        <f>VLOOKUP($C632,xe!$A:$B,2,0)</f>
        <v>#N/A</v>
      </c>
      <c r="F632" s="101" t="e">
        <f>VLOOKUP($B632,ma!$A:$B,2,0)</f>
        <v>#N/A</v>
      </c>
      <c r="G632" s="102"/>
      <c r="H632" s="103"/>
      <c r="I632" s="104"/>
      <c r="J632" s="99"/>
      <c r="K632" s="106"/>
      <c r="L632" s="107">
        <f t="shared" si="77"/>
        <v>0</v>
      </c>
      <c r="M632" s="104"/>
      <c r="N632" s="101"/>
      <c r="O632" s="101">
        <v>1</v>
      </c>
      <c r="P632" s="104" t="e">
        <f>VLOOKUP($B632,ma!$A:$C,3,0)</f>
        <v>#N/A</v>
      </c>
      <c r="Q632" s="140">
        <v>860000</v>
      </c>
      <c r="R632" s="138">
        <v>7.5999999999999998E-2</v>
      </c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spans="1:27" ht="14">
      <c r="A633" s="97">
        <f t="shared" si="78"/>
        <v>86</v>
      </c>
      <c r="B633" s="98"/>
      <c r="C633" s="99"/>
      <c r="D633" s="100"/>
      <c r="E633" s="99" t="e">
        <f>VLOOKUP($C633,xe!$A:$B,2,0)</f>
        <v>#N/A</v>
      </c>
      <c r="F633" s="101" t="e">
        <f>VLOOKUP($B633,ma!$A:$B,2,0)</f>
        <v>#N/A</v>
      </c>
      <c r="G633" s="102"/>
      <c r="H633" s="103"/>
      <c r="I633" s="104"/>
      <c r="J633" s="99"/>
      <c r="K633" s="106"/>
      <c r="L633" s="107">
        <f t="shared" si="77"/>
        <v>0</v>
      </c>
      <c r="M633" s="104"/>
      <c r="N633" s="101"/>
      <c r="O633" s="101">
        <v>1</v>
      </c>
      <c r="P633" s="104" t="e">
        <f>VLOOKUP($B633,ma!$A:$C,3,0)</f>
        <v>#N/A</v>
      </c>
      <c r="Q633" s="140">
        <v>860000</v>
      </c>
      <c r="R633" s="138">
        <v>7.5999999999999998E-2</v>
      </c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spans="1:27" ht="14">
      <c r="A634" s="97">
        <f t="shared" si="78"/>
        <v>87</v>
      </c>
      <c r="B634" s="98"/>
      <c r="C634" s="99"/>
      <c r="D634" s="100"/>
      <c r="E634" s="99" t="e">
        <f>VLOOKUP($C634,xe!$A:$B,2,0)</f>
        <v>#N/A</v>
      </c>
      <c r="F634" s="101" t="e">
        <f>VLOOKUP($B634,ma!$A:$B,2,0)</f>
        <v>#N/A</v>
      </c>
      <c r="G634" s="102"/>
      <c r="H634" s="103"/>
      <c r="I634" s="104"/>
      <c r="J634" s="99"/>
      <c r="K634" s="106"/>
      <c r="L634" s="107">
        <f t="shared" si="77"/>
        <v>0</v>
      </c>
      <c r="M634" s="104"/>
      <c r="N634" s="101"/>
      <c r="O634" s="101">
        <v>1</v>
      </c>
      <c r="P634" s="104" t="e">
        <f>VLOOKUP($B634,ma!$A:$C,3,0)</f>
        <v>#N/A</v>
      </c>
      <c r="Q634" s="140">
        <v>860000</v>
      </c>
      <c r="R634" s="138">
        <v>7.5999999999999998E-2</v>
      </c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spans="1:27" ht="14">
      <c r="A635" s="97">
        <f t="shared" si="78"/>
        <v>88</v>
      </c>
      <c r="B635" s="98"/>
      <c r="C635" s="99"/>
      <c r="D635" s="100"/>
      <c r="E635" s="99" t="e">
        <f>VLOOKUP($C635,xe!$A:$B,2,0)</f>
        <v>#N/A</v>
      </c>
      <c r="F635" s="101" t="e">
        <f>VLOOKUP($B635,ma!$A:$B,2,0)</f>
        <v>#N/A</v>
      </c>
      <c r="G635" s="102"/>
      <c r="H635" s="103"/>
      <c r="I635" s="104"/>
      <c r="J635" s="99"/>
      <c r="K635" s="106"/>
      <c r="L635" s="107">
        <f t="shared" si="77"/>
        <v>0</v>
      </c>
      <c r="M635" s="104"/>
      <c r="N635" s="101"/>
      <c r="O635" s="101">
        <v>1</v>
      </c>
      <c r="P635" s="104" t="e">
        <f>VLOOKUP($B635,ma!$A:$C,3,0)</f>
        <v>#N/A</v>
      </c>
      <c r="Q635" s="140">
        <v>860000</v>
      </c>
      <c r="R635" s="138">
        <v>7.5999999999999998E-2</v>
      </c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spans="1:27" ht="14">
      <c r="A636" s="97">
        <f t="shared" si="78"/>
        <v>89</v>
      </c>
      <c r="B636" s="98"/>
      <c r="C636" s="99"/>
      <c r="D636" s="100"/>
      <c r="E636" s="99" t="e">
        <f>VLOOKUP($C636,xe!$A:$B,2,0)</f>
        <v>#N/A</v>
      </c>
      <c r="F636" s="101" t="e">
        <f>VLOOKUP($B636,ma!$A:$B,2,0)</f>
        <v>#N/A</v>
      </c>
      <c r="G636" s="102"/>
      <c r="H636" s="103"/>
      <c r="I636" s="104"/>
      <c r="J636" s="99"/>
      <c r="K636" s="106"/>
      <c r="L636" s="107">
        <f t="shared" si="77"/>
        <v>0</v>
      </c>
      <c r="M636" s="104"/>
      <c r="N636" s="101"/>
      <c r="O636" s="101">
        <v>1</v>
      </c>
      <c r="P636" s="104" t="e">
        <f>VLOOKUP($B636,ma!$A:$C,3,0)</f>
        <v>#N/A</v>
      </c>
      <c r="Q636" s="140">
        <v>860000</v>
      </c>
      <c r="R636" s="138">
        <v>7.5999999999999998E-2</v>
      </c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spans="1:27" ht="14">
      <c r="A637" s="97">
        <f t="shared" si="78"/>
        <v>90</v>
      </c>
      <c r="B637" s="98"/>
      <c r="C637" s="99"/>
      <c r="D637" s="100"/>
      <c r="E637" s="99" t="e">
        <f>VLOOKUP($C637,xe!$A:$B,2,0)</f>
        <v>#N/A</v>
      </c>
      <c r="F637" s="101" t="e">
        <f>VLOOKUP($B637,ma!$A:$B,2,0)</f>
        <v>#N/A</v>
      </c>
      <c r="G637" s="102"/>
      <c r="H637" s="103"/>
      <c r="I637" s="104"/>
      <c r="J637" s="99"/>
      <c r="K637" s="106"/>
      <c r="L637" s="107">
        <f t="shared" si="77"/>
        <v>0</v>
      </c>
      <c r="M637" s="104"/>
      <c r="N637" s="101"/>
      <c r="O637" s="101">
        <v>1</v>
      </c>
      <c r="P637" s="104" t="e">
        <f>VLOOKUP($B637,ma!$A:$C,3,0)</f>
        <v>#N/A</v>
      </c>
      <c r="Q637" s="140">
        <v>860000</v>
      </c>
      <c r="R637" s="138">
        <v>7.5999999999999998E-2</v>
      </c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spans="1:27" ht="14">
      <c r="A638" s="97">
        <f t="shared" si="78"/>
        <v>91</v>
      </c>
      <c r="B638" s="98"/>
      <c r="C638" s="99"/>
      <c r="D638" s="100"/>
      <c r="E638" s="99" t="e">
        <f>VLOOKUP($C638,xe!$A:$B,2,0)</f>
        <v>#N/A</v>
      </c>
      <c r="F638" s="101" t="e">
        <f>VLOOKUP($B638,ma!$A:$B,2,0)</f>
        <v>#N/A</v>
      </c>
      <c r="G638" s="102"/>
      <c r="H638" s="103"/>
      <c r="I638" s="104"/>
      <c r="J638" s="99"/>
      <c r="K638" s="106"/>
      <c r="L638" s="107">
        <f t="shared" si="77"/>
        <v>0</v>
      </c>
      <c r="M638" s="104"/>
      <c r="N638" s="101"/>
      <c r="O638" s="101">
        <v>1</v>
      </c>
      <c r="P638" s="104" t="e">
        <f>VLOOKUP($B638,ma!$A:$C,3,0)</f>
        <v>#N/A</v>
      </c>
      <c r="Q638" s="140">
        <v>860000</v>
      </c>
      <c r="R638" s="138">
        <v>7.5999999999999998E-2</v>
      </c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spans="1:27" ht="14">
      <c r="A639" s="97">
        <f t="shared" si="78"/>
        <v>92</v>
      </c>
      <c r="B639" s="98"/>
      <c r="C639" s="99"/>
      <c r="D639" s="100"/>
      <c r="E639" s="99" t="e">
        <f>VLOOKUP($C639,xe!$A:$B,2,0)</f>
        <v>#N/A</v>
      </c>
      <c r="F639" s="101" t="e">
        <f>VLOOKUP($B639,ma!$A:$B,2,0)</f>
        <v>#N/A</v>
      </c>
      <c r="G639" s="102"/>
      <c r="H639" s="103"/>
      <c r="I639" s="104"/>
      <c r="J639" s="99"/>
      <c r="K639" s="106"/>
      <c r="L639" s="107">
        <f t="shared" si="77"/>
        <v>0</v>
      </c>
      <c r="M639" s="104"/>
      <c r="N639" s="101"/>
      <c r="O639" s="101">
        <v>1</v>
      </c>
      <c r="P639" s="104" t="e">
        <f>VLOOKUP($B639,ma!$A:$C,3,0)</f>
        <v>#N/A</v>
      </c>
      <c r="Q639" s="140">
        <v>860000</v>
      </c>
      <c r="R639" s="138">
        <v>7.5999999999999998E-2</v>
      </c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spans="1:27" ht="14">
      <c r="A640" s="97">
        <f t="shared" si="78"/>
        <v>93</v>
      </c>
      <c r="B640" s="98"/>
      <c r="C640" s="99"/>
      <c r="D640" s="100"/>
      <c r="E640" s="99" t="e">
        <f>VLOOKUP($C640,xe!$A:$B,2,0)</f>
        <v>#N/A</v>
      </c>
      <c r="F640" s="101" t="e">
        <f>VLOOKUP($B640,ma!$A:$B,2,0)</f>
        <v>#N/A</v>
      </c>
      <c r="G640" s="102"/>
      <c r="H640" s="103"/>
      <c r="I640" s="104"/>
      <c r="J640" s="99"/>
      <c r="K640" s="106"/>
      <c r="L640" s="107">
        <f t="shared" si="77"/>
        <v>0</v>
      </c>
      <c r="M640" s="104"/>
      <c r="N640" s="101"/>
      <c r="O640" s="101">
        <v>1</v>
      </c>
      <c r="P640" s="104" t="e">
        <f>VLOOKUP($B640,ma!$A:$C,3,0)</f>
        <v>#N/A</v>
      </c>
      <c r="Q640" s="140">
        <v>860000</v>
      </c>
      <c r="R640" s="138">
        <v>7.5999999999999998E-2</v>
      </c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spans="1:27" ht="14">
      <c r="A641" s="97">
        <f t="shared" si="78"/>
        <v>94</v>
      </c>
      <c r="B641" s="98"/>
      <c r="C641" s="99"/>
      <c r="D641" s="100"/>
      <c r="E641" s="99" t="e">
        <f>VLOOKUP($C641,xe!$A:$B,2,0)</f>
        <v>#N/A</v>
      </c>
      <c r="F641" s="101" t="e">
        <f>VLOOKUP($B641,ma!$A:$B,2,0)</f>
        <v>#N/A</v>
      </c>
      <c r="G641" s="102"/>
      <c r="H641" s="103"/>
      <c r="I641" s="104"/>
      <c r="J641" s="99"/>
      <c r="K641" s="106"/>
      <c r="L641" s="107">
        <f t="shared" si="77"/>
        <v>0</v>
      </c>
      <c r="M641" s="104"/>
      <c r="N641" s="101"/>
      <c r="O641" s="101">
        <v>1</v>
      </c>
      <c r="P641" s="104" t="e">
        <f>VLOOKUP($B641,ma!$A:$C,3,0)</f>
        <v>#N/A</v>
      </c>
      <c r="Q641" s="140">
        <v>860000</v>
      </c>
      <c r="R641" s="138">
        <v>7.5999999999999998E-2</v>
      </c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spans="1:27" ht="14">
      <c r="A642" s="97">
        <f t="shared" si="78"/>
        <v>95</v>
      </c>
      <c r="B642" s="98"/>
      <c r="C642" s="99"/>
      <c r="D642" s="100"/>
      <c r="E642" s="99" t="e">
        <f>VLOOKUP($C642,xe!$A:$B,2,0)</f>
        <v>#N/A</v>
      </c>
      <c r="F642" s="101" t="e">
        <f>VLOOKUP($B642,ma!$A:$B,2,0)</f>
        <v>#N/A</v>
      </c>
      <c r="G642" s="102"/>
      <c r="H642" s="103"/>
      <c r="I642" s="104"/>
      <c r="J642" s="99"/>
      <c r="K642" s="106"/>
      <c r="L642" s="107">
        <f t="shared" si="77"/>
        <v>0</v>
      </c>
      <c r="M642" s="104"/>
      <c r="N642" s="101"/>
      <c r="O642" s="101">
        <v>1</v>
      </c>
      <c r="P642" s="104" t="e">
        <f>VLOOKUP($B642,ma!$A:$C,3,0)</f>
        <v>#N/A</v>
      </c>
      <c r="Q642" s="140">
        <v>860000</v>
      </c>
      <c r="R642" s="138">
        <v>7.5999999999999998E-2</v>
      </c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spans="1:27" ht="14">
      <c r="A643" s="97">
        <f t="shared" si="78"/>
        <v>96</v>
      </c>
      <c r="B643" s="98"/>
      <c r="C643" s="99"/>
      <c r="D643" s="100"/>
      <c r="E643" s="99" t="e">
        <f>VLOOKUP($C643,xe!$A:$B,2,0)</f>
        <v>#N/A</v>
      </c>
      <c r="F643" s="101" t="e">
        <f>VLOOKUP($B643,ma!$A:$B,2,0)</f>
        <v>#N/A</v>
      </c>
      <c r="G643" s="102"/>
      <c r="H643" s="103"/>
      <c r="I643" s="104"/>
      <c r="J643" s="99"/>
      <c r="K643" s="106"/>
      <c r="L643" s="107">
        <f t="shared" si="77"/>
        <v>0</v>
      </c>
      <c r="M643" s="104"/>
      <c r="N643" s="101"/>
      <c r="O643" s="101">
        <v>1</v>
      </c>
      <c r="P643" s="104" t="e">
        <f>VLOOKUP($B643,ma!$A:$C,3,0)</f>
        <v>#N/A</v>
      </c>
      <c r="Q643" s="140">
        <v>860000</v>
      </c>
      <c r="R643" s="138">
        <v>7.5999999999999998E-2</v>
      </c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spans="1:27" ht="14">
      <c r="A644" s="97">
        <f t="shared" si="78"/>
        <v>97</v>
      </c>
      <c r="B644" s="98"/>
      <c r="C644" s="99"/>
      <c r="D644" s="100"/>
      <c r="E644" s="99" t="e">
        <f>VLOOKUP($C644,xe!$A:$B,2,0)</f>
        <v>#N/A</v>
      </c>
      <c r="F644" s="101" t="e">
        <f>VLOOKUP($B644,ma!$A:$B,2,0)</f>
        <v>#N/A</v>
      </c>
      <c r="G644" s="102"/>
      <c r="H644" s="103"/>
      <c r="I644" s="104"/>
      <c r="J644" s="99"/>
      <c r="K644" s="106"/>
      <c r="L644" s="107">
        <f t="shared" si="77"/>
        <v>0</v>
      </c>
      <c r="M644" s="104"/>
      <c r="N644" s="101"/>
      <c r="O644" s="101">
        <v>1</v>
      </c>
      <c r="P644" s="104" t="e">
        <f>VLOOKUP($B644,ma!$A:$C,3,0)</f>
        <v>#N/A</v>
      </c>
      <c r="Q644" s="140">
        <v>860000</v>
      </c>
      <c r="R644" s="138">
        <v>7.5999999999999998E-2</v>
      </c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spans="1:27" ht="14">
      <c r="A645" s="97">
        <f t="shared" si="78"/>
        <v>98</v>
      </c>
      <c r="B645" s="98"/>
      <c r="C645" s="99"/>
      <c r="D645" s="100"/>
      <c r="E645" s="99" t="e">
        <f>VLOOKUP($C645,xe!$A:$B,2,0)</f>
        <v>#N/A</v>
      </c>
      <c r="F645" s="101" t="e">
        <f>VLOOKUP($B645,ma!$A:$B,2,0)</f>
        <v>#N/A</v>
      </c>
      <c r="G645" s="102"/>
      <c r="H645" s="103"/>
      <c r="I645" s="104"/>
      <c r="J645" s="99"/>
      <c r="K645" s="106"/>
      <c r="L645" s="107">
        <f t="shared" si="77"/>
        <v>0</v>
      </c>
      <c r="M645" s="104"/>
      <c r="N645" s="101"/>
      <c r="O645" s="101">
        <v>1</v>
      </c>
      <c r="P645" s="104" t="e">
        <f>VLOOKUP($B645,ma!$A:$C,3,0)</f>
        <v>#N/A</v>
      </c>
      <c r="Q645" s="140">
        <v>860000</v>
      </c>
      <c r="R645" s="138">
        <v>7.5999999999999998E-2</v>
      </c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spans="1:27" ht="14">
      <c r="A646" s="97">
        <f t="shared" si="78"/>
        <v>99</v>
      </c>
      <c r="B646" s="98"/>
      <c r="C646" s="99"/>
      <c r="D646" s="100"/>
      <c r="E646" s="99" t="e">
        <f>VLOOKUP($C646,xe!$A:$B,2,0)</f>
        <v>#N/A</v>
      </c>
      <c r="F646" s="101" t="e">
        <f>VLOOKUP($B646,ma!$A:$B,2,0)</f>
        <v>#N/A</v>
      </c>
      <c r="G646" s="102"/>
      <c r="H646" s="103"/>
      <c r="I646" s="104"/>
      <c r="J646" s="99"/>
      <c r="K646" s="106"/>
      <c r="L646" s="107">
        <f t="shared" si="77"/>
        <v>0</v>
      </c>
      <c r="M646" s="104"/>
      <c r="N646" s="101"/>
      <c r="O646" s="101">
        <v>1</v>
      </c>
      <c r="P646" s="104" t="e">
        <f>VLOOKUP($B646,ma!$A:$C,3,0)</f>
        <v>#N/A</v>
      </c>
      <c r="Q646" s="140">
        <v>860000</v>
      </c>
      <c r="R646" s="138">
        <v>7.5999999999999998E-2</v>
      </c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spans="1:27" ht="14">
      <c r="A647" s="97">
        <f t="shared" si="78"/>
        <v>100</v>
      </c>
      <c r="B647" s="98"/>
      <c r="C647" s="99"/>
      <c r="D647" s="100"/>
      <c r="E647" s="99" t="e">
        <f>VLOOKUP($C647,xe!$A:$B,2,0)</f>
        <v>#N/A</v>
      </c>
      <c r="F647" s="101" t="e">
        <f>VLOOKUP($B647,ma!$A:$B,2,0)</f>
        <v>#N/A</v>
      </c>
      <c r="G647" s="102"/>
      <c r="H647" s="103"/>
      <c r="I647" s="104"/>
      <c r="J647" s="99"/>
      <c r="K647" s="106"/>
      <c r="L647" s="107">
        <f t="shared" si="77"/>
        <v>0</v>
      </c>
      <c r="M647" s="104"/>
      <c r="N647" s="101"/>
      <c r="O647" s="101">
        <v>1</v>
      </c>
      <c r="P647" s="104" t="e">
        <f>VLOOKUP($B647,ma!$A:$C,3,0)</f>
        <v>#N/A</v>
      </c>
      <c r="Q647" s="140">
        <v>860000</v>
      </c>
      <c r="R647" s="138">
        <v>7.5999999999999998E-2</v>
      </c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spans="1:27" ht="14">
      <c r="A648" s="97">
        <f t="shared" si="78"/>
        <v>101</v>
      </c>
      <c r="B648" s="98"/>
      <c r="C648" s="99"/>
      <c r="D648" s="100"/>
      <c r="E648" s="99" t="e">
        <f>VLOOKUP($C648,xe!$A:$B,2,0)</f>
        <v>#N/A</v>
      </c>
      <c r="F648" s="101" t="e">
        <f>VLOOKUP($B648,ma!$A:$B,2,0)</f>
        <v>#N/A</v>
      </c>
      <c r="G648" s="102"/>
      <c r="H648" s="103"/>
      <c r="I648" s="104"/>
      <c r="J648" s="99"/>
      <c r="K648" s="106"/>
      <c r="L648" s="107">
        <f t="shared" si="77"/>
        <v>0</v>
      </c>
      <c r="M648" s="104"/>
      <c r="N648" s="101"/>
      <c r="O648" s="101">
        <v>1</v>
      </c>
      <c r="P648" s="104" t="e">
        <f>VLOOKUP($B648,ma!$A:$C,3,0)</f>
        <v>#N/A</v>
      </c>
      <c r="Q648" s="140">
        <v>860000</v>
      </c>
      <c r="R648" s="138">
        <v>7.5999999999999998E-2</v>
      </c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spans="1:27" ht="14">
      <c r="A649" s="97">
        <f t="shared" si="78"/>
        <v>102</v>
      </c>
      <c r="B649" s="98"/>
      <c r="C649" s="99"/>
      <c r="D649" s="100"/>
      <c r="E649" s="99" t="e">
        <f>VLOOKUP($C649,xe!$A:$B,2,0)</f>
        <v>#N/A</v>
      </c>
      <c r="F649" s="101" t="e">
        <f>VLOOKUP($B649,ma!$A:$B,2,0)</f>
        <v>#N/A</v>
      </c>
      <c r="G649" s="102"/>
      <c r="H649" s="103"/>
      <c r="I649" s="104"/>
      <c r="J649" s="99"/>
      <c r="K649" s="106"/>
      <c r="L649" s="107">
        <f t="shared" si="77"/>
        <v>0</v>
      </c>
      <c r="M649" s="104"/>
      <c r="N649" s="101"/>
      <c r="O649" s="101">
        <v>1</v>
      </c>
      <c r="P649" s="104" t="e">
        <f>VLOOKUP($B649,ma!$A:$C,3,0)</f>
        <v>#N/A</v>
      </c>
      <c r="Q649" s="140">
        <v>860000</v>
      </c>
      <c r="R649" s="138">
        <v>7.5999999999999998E-2</v>
      </c>
      <c r="S649" s="111"/>
      <c r="T649" s="111"/>
      <c r="U649" s="111"/>
      <c r="V649" s="111"/>
      <c r="W649" s="111"/>
      <c r="X649" s="111"/>
      <c r="Y649" s="111"/>
      <c r="Z649" s="111"/>
      <c r="AA649" s="111"/>
    </row>
    <row r="650" spans="1:27" ht="14">
      <c r="A650" s="97">
        <f t="shared" si="78"/>
        <v>103</v>
      </c>
      <c r="B650" s="98"/>
      <c r="C650" s="99"/>
      <c r="D650" s="100"/>
      <c r="E650" s="99" t="e">
        <f>VLOOKUP($C650,xe!$A:$B,2,0)</f>
        <v>#N/A</v>
      </c>
      <c r="F650" s="101" t="e">
        <f>VLOOKUP($B650,ma!$A:$B,2,0)</f>
        <v>#N/A</v>
      </c>
      <c r="G650" s="102"/>
      <c r="H650" s="103"/>
      <c r="I650" s="104"/>
      <c r="J650" s="99"/>
      <c r="K650" s="106"/>
      <c r="L650" s="107">
        <f t="shared" si="77"/>
        <v>0</v>
      </c>
      <c r="M650" s="104"/>
      <c r="N650" s="101"/>
      <c r="O650" s="101">
        <v>1</v>
      </c>
      <c r="P650" s="104" t="e">
        <f>VLOOKUP($B650,ma!$A:$C,3,0)</f>
        <v>#N/A</v>
      </c>
      <c r="Q650" s="140">
        <v>860000</v>
      </c>
      <c r="R650" s="138">
        <v>7.5999999999999998E-2</v>
      </c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spans="1:27" ht="14">
      <c r="A651" s="97">
        <f t="shared" si="78"/>
        <v>104</v>
      </c>
      <c r="B651" s="98"/>
      <c r="C651" s="99"/>
      <c r="D651" s="100"/>
      <c r="E651" s="99" t="e">
        <f>VLOOKUP($C651,xe!$A:$B,2,0)</f>
        <v>#N/A</v>
      </c>
      <c r="F651" s="101" t="e">
        <f>VLOOKUP($B651,ma!$A:$B,2,0)</f>
        <v>#N/A</v>
      </c>
      <c r="G651" s="102"/>
      <c r="H651" s="103"/>
      <c r="I651" s="104"/>
      <c r="J651" s="99"/>
      <c r="K651" s="106"/>
      <c r="L651" s="107">
        <f t="shared" si="77"/>
        <v>0</v>
      </c>
      <c r="M651" s="104"/>
      <c r="N651" s="101"/>
      <c r="O651" s="101">
        <v>1</v>
      </c>
      <c r="P651" s="104" t="e">
        <f>VLOOKUP($B651,ma!$A:$C,3,0)</f>
        <v>#N/A</v>
      </c>
      <c r="Q651" s="140">
        <v>860000</v>
      </c>
      <c r="R651" s="138">
        <v>7.5999999999999998E-2</v>
      </c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spans="1:27" ht="14">
      <c r="A652" s="97">
        <f t="shared" si="78"/>
        <v>105</v>
      </c>
      <c r="B652" s="98"/>
      <c r="C652" s="99"/>
      <c r="D652" s="100"/>
      <c r="E652" s="99" t="e">
        <f>VLOOKUP($C652,xe!$A:$B,2,0)</f>
        <v>#N/A</v>
      </c>
      <c r="F652" s="101" t="e">
        <f>VLOOKUP($B652,ma!$A:$B,2,0)</f>
        <v>#N/A</v>
      </c>
      <c r="G652" s="102"/>
      <c r="H652" s="103"/>
      <c r="I652" s="104"/>
      <c r="J652" s="99"/>
      <c r="K652" s="106"/>
      <c r="L652" s="107">
        <f t="shared" si="77"/>
        <v>0</v>
      </c>
      <c r="M652" s="104"/>
      <c r="N652" s="101"/>
      <c r="O652" s="101">
        <v>1</v>
      </c>
      <c r="P652" s="104" t="e">
        <f>VLOOKUP($B652,ma!$A:$C,3,0)</f>
        <v>#N/A</v>
      </c>
      <c r="Q652" s="140">
        <v>860000</v>
      </c>
      <c r="R652" s="138">
        <v>7.5999999999999998E-2</v>
      </c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spans="1:27" ht="14">
      <c r="A653" s="97">
        <f t="shared" si="78"/>
        <v>106</v>
      </c>
      <c r="B653" s="98"/>
      <c r="C653" s="99"/>
      <c r="D653" s="100"/>
      <c r="E653" s="99" t="e">
        <f>VLOOKUP($C653,xe!$A:$B,2,0)</f>
        <v>#N/A</v>
      </c>
      <c r="F653" s="101" t="e">
        <f>VLOOKUP($B653,ma!$A:$B,2,0)</f>
        <v>#N/A</v>
      </c>
      <c r="G653" s="102"/>
      <c r="H653" s="103"/>
      <c r="I653" s="104"/>
      <c r="J653" s="99"/>
      <c r="K653" s="106"/>
      <c r="L653" s="107">
        <f t="shared" si="77"/>
        <v>0</v>
      </c>
      <c r="M653" s="104"/>
      <c r="N653" s="101"/>
      <c r="O653" s="101">
        <v>1</v>
      </c>
      <c r="P653" s="104" t="e">
        <f>VLOOKUP($B653,ma!$A:$C,3,0)</f>
        <v>#N/A</v>
      </c>
      <c r="Q653" s="140">
        <v>860000</v>
      </c>
      <c r="R653" s="138">
        <v>7.5999999999999998E-2</v>
      </c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spans="1:27" ht="14">
      <c r="A654" s="97">
        <f t="shared" si="78"/>
        <v>107</v>
      </c>
      <c r="B654" s="98"/>
      <c r="C654" s="99"/>
      <c r="D654" s="100"/>
      <c r="E654" s="99" t="e">
        <f>VLOOKUP($C654,xe!$A:$B,2,0)</f>
        <v>#N/A</v>
      </c>
      <c r="F654" s="101" t="e">
        <f>VLOOKUP($B654,ma!$A:$B,2,0)</f>
        <v>#N/A</v>
      </c>
      <c r="G654" s="102"/>
      <c r="H654" s="103"/>
      <c r="I654" s="104"/>
      <c r="J654" s="99"/>
      <c r="K654" s="106"/>
      <c r="L654" s="107">
        <f t="shared" si="77"/>
        <v>0</v>
      </c>
      <c r="M654" s="104"/>
      <c r="N654" s="101"/>
      <c r="O654" s="101">
        <v>1</v>
      </c>
      <c r="P654" s="104" t="e">
        <f>VLOOKUP($B654,ma!$A:$C,3,0)</f>
        <v>#N/A</v>
      </c>
      <c r="Q654" s="140">
        <v>860000</v>
      </c>
      <c r="R654" s="138">
        <v>7.5999999999999998E-2</v>
      </c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spans="1:27" ht="14">
      <c r="A655" s="97">
        <f t="shared" si="78"/>
        <v>108</v>
      </c>
      <c r="B655" s="98"/>
      <c r="C655" s="99"/>
      <c r="D655" s="100"/>
      <c r="E655" s="99" t="e">
        <f>VLOOKUP($C655,xe!$A:$B,2,0)</f>
        <v>#N/A</v>
      </c>
      <c r="F655" s="101" t="e">
        <f>VLOOKUP($B655,ma!$A:$B,2,0)</f>
        <v>#N/A</v>
      </c>
      <c r="G655" s="102"/>
      <c r="H655" s="103"/>
      <c r="I655" s="104"/>
      <c r="J655" s="99"/>
      <c r="K655" s="106"/>
      <c r="L655" s="107">
        <f t="shared" si="77"/>
        <v>0</v>
      </c>
      <c r="M655" s="104"/>
      <c r="N655" s="101"/>
      <c r="O655" s="101">
        <v>1</v>
      </c>
      <c r="P655" s="104" t="e">
        <f>VLOOKUP($B655,ma!$A:$C,3,0)</f>
        <v>#N/A</v>
      </c>
      <c r="Q655" s="140">
        <v>860000</v>
      </c>
      <c r="R655" s="138">
        <v>7.5999999999999998E-2</v>
      </c>
      <c r="S655" s="111"/>
      <c r="T655" s="111"/>
      <c r="U655" s="111"/>
      <c r="V655" s="111"/>
      <c r="W655" s="111"/>
      <c r="X655" s="111"/>
      <c r="Y655" s="111"/>
      <c r="Z655" s="111"/>
      <c r="AA655" s="111"/>
    </row>
    <row r="656" spans="1:27" ht="14">
      <c r="A656" s="97">
        <f t="shared" si="78"/>
        <v>109</v>
      </c>
      <c r="B656" s="98"/>
      <c r="C656" s="99"/>
      <c r="D656" s="100"/>
      <c r="E656" s="99" t="e">
        <f>VLOOKUP($C656,xe!$A:$B,2,0)</f>
        <v>#N/A</v>
      </c>
      <c r="F656" s="101" t="e">
        <f>VLOOKUP($B656,ma!$A:$B,2,0)</f>
        <v>#N/A</v>
      </c>
      <c r="G656" s="102"/>
      <c r="H656" s="103"/>
      <c r="I656" s="104"/>
      <c r="J656" s="99"/>
      <c r="K656" s="106"/>
      <c r="L656" s="107">
        <f t="shared" si="77"/>
        <v>0</v>
      </c>
      <c r="M656" s="104"/>
      <c r="N656" s="101"/>
      <c r="O656" s="101">
        <v>1</v>
      </c>
      <c r="P656" s="104" t="e">
        <f>VLOOKUP($B656,ma!$A:$C,3,0)</f>
        <v>#N/A</v>
      </c>
      <c r="Q656" s="140">
        <v>860000</v>
      </c>
      <c r="R656" s="138">
        <v>7.5999999999999998E-2</v>
      </c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spans="1:27" ht="14">
      <c r="A657" s="97">
        <f t="shared" si="78"/>
        <v>110</v>
      </c>
      <c r="B657" s="98"/>
      <c r="C657" s="99"/>
      <c r="D657" s="100"/>
      <c r="E657" s="99" t="e">
        <f>VLOOKUP($C657,xe!$A:$B,2,0)</f>
        <v>#N/A</v>
      </c>
      <c r="F657" s="101" t="e">
        <f>VLOOKUP($B657,ma!$A:$B,2,0)</f>
        <v>#N/A</v>
      </c>
      <c r="G657" s="102"/>
      <c r="H657" s="103"/>
      <c r="I657" s="104"/>
      <c r="J657" s="99"/>
      <c r="K657" s="106"/>
      <c r="L657" s="107">
        <f t="shared" si="77"/>
        <v>0</v>
      </c>
      <c r="M657" s="104"/>
      <c r="N657" s="101"/>
      <c r="O657" s="101">
        <v>1</v>
      </c>
      <c r="P657" s="104" t="e">
        <f>VLOOKUP($B657,ma!$A:$C,3,0)</f>
        <v>#N/A</v>
      </c>
      <c r="Q657" s="140">
        <v>860000</v>
      </c>
      <c r="R657" s="138">
        <v>7.5999999999999998E-2</v>
      </c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spans="1:27" ht="14">
      <c r="A658" s="97">
        <f t="shared" si="78"/>
        <v>111</v>
      </c>
      <c r="B658" s="98"/>
      <c r="C658" s="99"/>
      <c r="D658" s="100"/>
      <c r="E658" s="99" t="e">
        <f>VLOOKUP($C658,xe!$A:$B,2,0)</f>
        <v>#N/A</v>
      </c>
      <c r="F658" s="101" t="e">
        <f>VLOOKUP($B658,ma!$A:$B,2,0)</f>
        <v>#N/A</v>
      </c>
      <c r="G658" s="102"/>
      <c r="H658" s="103"/>
      <c r="I658" s="104"/>
      <c r="J658" s="99"/>
      <c r="K658" s="106"/>
      <c r="L658" s="107">
        <f t="shared" si="77"/>
        <v>0</v>
      </c>
      <c r="M658" s="104"/>
      <c r="N658" s="101"/>
      <c r="O658" s="101">
        <v>1</v>
      </c>
      <c r="P658" s="104" t="e">
        <f>VLOOKUP($B658,ma!$A:$C,3,0)</f>
        <v>#N/A</v>
      </c>
      <c r="Q658" s="140">
        <v>860000</v>
      </c>
      <c r="R658" s="138">
        <v>7.5999999999999998E-2</v>
      </c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spans="1:27" ht="14">
      <c r="A659" s="97">
        <f t="shared" si="78"/>
        <v>112</v>
      </c>
      <c r="B659" s="98"/>
      <c r="C659" s="99"/>
      <c r="D659" s="100"/>
      <c r="E659" s="99" t="e">
        <f>VLOOKUP($C659,xe!$A:$B,2,0)</f>
        <v>#N/A</v>
      </c>
      <c r="F659" s="101" t="e">
        <f>VLOOKUP($B659,ma!$A:$B,2,0)</f>
        <v>#N/A</v>
      </c>
      <c r="G659" s="102"/>
      <c r="H659" s="103"/>
      <c r="I659" s="104"/>
      <c r="J659" s="99"/>
      <c r="K659" s="106"/>
      <c r="L659" s="107">
        <f t="shared" si="77"/>
        <v>0</v>
      </c>
      <c r="M659" s="104"/>
      <c r="N659" s="101"/>
      <c r="O659" s="101">
        <v>1</v>
      </c>
      <c r="P659" s="104" t="e">
        <f>VLOOKUP($B659,ma!$A:$C,3,0)</f>
        <v>#N/A</v>
      </c>
      <c r="Q659" s="140">
        <v>860000</v>
      </c>
      <c r="R659" s="138">
        <v>7.5999999999999998E-2</v>
      </c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spans="1:27" ht="14">
      <c r="A660" s="97">
        <f t="shared" si="78"/>
        <v>113</v>
      </c>
      <c r="B660" s="98"/>
      <c r="C660" s="99"/>
      <c r="D660" s="100"/>
      <c r="E660" s="99" t="e">
        <f>VLOOKUP($C660,xe!$A:$B,2,0)</f>
        <v>#N/A</v>
      </c>
      <c r="F660" s="101" t="e">
        <f>VLOOKUP($B660,ma!$A:$B,2,0)</f>
        <v>#N/A</v>
      </c>
      <c r="G660" s="102"/>
      <c r="H660" s="103"/>
      <c r="I660" s="104"/>
      <c r="J660" s="99"/>
      <c r="K660" s="106"/>
      <c r="L660" s="107">
        <f t="shared" si="77"/>
        <v>0</v>
      </c>
      <c r="M660" s="104"/>
      <c r="N660" s="101"/>
      <c r="O660" s="101">
        <v>1</v>
      </c>
      <c r="P660" s="104" t="e">
        <f>VLOOKUP($B660,ma!$A:$C,3,0)</f>
        <v>#N/A</v>
      </c>
      <c r="Q660" s="140">
        <v>860000</v>
      </c>
      <c r="R660" s="138">
        <v>7.5999999999999998E-2</v>
      </c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spans="1:27" ht="14">
      <c r="A661" s="97">
        <f t="shared" si="78"/>
        <v>114</v>
      </c>
      <c r="B661" s="98"/>
      <c r="C661" s="99"/>
      <c r="D661" s="100"/>
      <c r="E661" s="99" t="e">
        <f>VLOOKUP($C661,xe!$A:$B,2,0)</f>
        <v>#N/A</v>
      </c>
      <c r="F661" s="101" t="e">
        <f>VLOOKUP($B661,ma!$A:$B,2,0)</f>
        <v>#N/A</v>
      </c>
      <c r="G661" s="102"/>
      <c r="H661" s="103"/>
      <c r="I661" s="104"/>
      <c r="J661" s="99"/>
      <c r="K661" s="106"/>
      <c r="L661" s="107">
        <f t="shared" si="77"/>
        <v>0</v>
      </c>
      <c r="M661" s="104"/>
      <c r="N661" s="101"/>
      <c r="O661" s="101">
        <v>1</v>
      </c>
      <c r="P661" s="104" t="e">
        <f>VLOOKUP($B661,ma!$A:$C,3,0)</f>
        <v>#N/A</v>
      </c>
      <c r="Q661" s="140">
        <v>860000</v>
      </c>
      <c r="R661" s="138">
        <v>7.5999999999999998E-2</v>
      </c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spans="1:27" ht="14">
      <c r="A662" s="97">
        <f t="shared" si="78"/>
        <v>115</v>
      </c>
      <c r="B662" s="98"/>
      <c r="C662" s="99"/>
      <c r="D662" s="100"/>
      <c r="E662" s="99" t="e">
        <f>VLOOKUP($C662,xe!$A:$B,2,0)</f>
        <v>#N/A</v>
      </c>
      <c r="F662" s="101" t="e">
        <f>VLOOKUP($B662,ma!$A:$B,2,0)</f>
        <v>#N/A</v>
      </c>
      <c r="G662" s="102"/>
      <c r="H662" s="103"/>
      <c r="I662" s="104"/>
      <c r="J662" s="99"/>
      <c r="K662" s="106"/>
      <c r="L662" s="107">
        <f t="shared" si="77"/>
        <v>0</v>
      </c>
      <c r="M662" s="104"/>
      <c r="N662" s="101"/>
      <c r="O662" s="101">
        <v>1</v>
      </c>
      <c r="P662" s="104" t="e">
        <f>VLOOKUP($B662,ma!$A:$C,3,0)</f>
        <v>#N/A</v>
      </c>
      <c r="Q662" s="140">
        <v>860000</v>
      </c>
      <c r="R662" s="138">
        <v>7.5999999999999998E-2</v>
      </c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spans="1:27" ht="14">
      <c r="A663" s="97">
        <f t="shared" si="78"/>
        <v>116</v>
      </c>
      <c r="B663" s="98"/>
      <c r="C663" s="99"/>
      <c r="D663" s="100"/>
      <c r="E663" s="99" t="e">
        <f>VLOOKUP($C663,xe!$A:$B,2,0)</f>
        <v>#N/A</v>
      </c>
      <c r="F663" s="101" t="e">
        <f>VLOOKUP($B663,ma!$A:$B,2,0)</f>
        <v>#N/A</v>
      </c>
      <c r="G663" s="102"/>
      <c r="H663" s="103"/>
      <c r="I663" s="104"/>
      <c r="J663" s="99"/>
      <c r="K663" s="106"/>
      <c r="L663" s="107">
        <f t="shared" si="77"/>
        <v>0</v>
      </c>
      <c r="M663" s="104"/>
      <c r="N663" s="101"/>
      <c r="O663" s="101">
        <v>1</v>
      </c>
      <c r="P663" s="104" t="e">
        <f>VLOOKUP($B663,ma!$A:$C,3,0)</f>
        <v>#N/A</v>
      </c>
      <c r="Q663" s="140">
        <v>860000</v>
      </c>
      <c r="R663" s="138">
        <v>7.5999999999999998E-2</v>
      </c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spans="1:27" ht="14">
      <c r="A664" s="97">
        <f t="shared" si="78"/>
        <v>117</v>
      </c>
      <c r="B664" s="98"/>
      <c r="C664" s="99"/>
      <c r="D664" s="100"/>
      <c r="E664" s="99" t="e">
        <f>VLOOKUP($C664,xe!$A:$B,2,0)</f>
        <v>#N/A</v>
      </c>
      <c r="F664" s="101" t="e">
        <f>VLOOKUP($B664,ma!$A:$B,2,0)</f>
        <v>#N/A</v>
      </c>
      <c r="G664" s="102"/>
      <c r="H664" s="103"/>
      <c r="I664" s="104"/>
      <c r="J664" s="99"/>
      <c r="K664" s="106"/>
      <c r="L664" s="107">
        <f t="shared" si="77"/>
        <v>0</v>
      </c>
      <c r="M664" s="104"/>
      <c r="N664" s="101"/>
      <c r="O664" s="101">
        <v>1</v>
      </c>
      <c r="P664" s="104" t="e">
        <f>VLOOKUP($B664,ma!$A:$C,3,0)</f>
        <v>#N/A</v>
      </c>
      <c r="Q664" s="140">
        <v>860000</v>
      </c>
      <c r="R664" s="138">
        <v>7.5999999999999998E-2</v>
      </c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spans="1:27" ht="14">
      <c r="A665" s="97">
        <f t="shared" si="78"/>
        <v>118</v>
      </c>
      <c r="B665" s="98"/>
      <c r="C665" s="99"/>
      <c r="D665" s="100"/>
      <c r="E665" s="99" t="e">
        <f>VLOOKUP($C665,xe!$A:$B,2,0)</f>
        <v>#N/A</v>
      </c>
      <c r="F665" s="101" t="e">
        <f>VLOOKUP($B665,ma!$A:$B,2,0)</f>
        <v>#N/A</v>
      </c>
      <c r="G665" s="102"/>
      <c r="H665" s="103"/>
      <c r="I665" s="104"/>
      <c r="J665" s="99"/>
      <c r="K665" s="106"/>
      <c r="L665" s="107">
        <f t="shared" si="77"/>
        <v>0</v>
      </c>
      <c r="M665" s="104"/>
      <c r="N665" s="101"/>
      <c r="O665" s="101">
        <v>1</v>
      </c>
      <c r="P665" s="104" t="e">
        <f>VLOOKUP($B665,ma!$A:$C,3,0)</f>
        <v>#N/A</v>
      </c>
      <c r="Q665" s="140">
        <v>860000</v>
      </c>
      <c r="R665" s="138">
        <v>7.5999999999999998E-2</v>
      </c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spans="1:27" ht="14">
      <c r="A666" s="97">
        <f t="shared" si="78"/>
        <v>119</v>
      </c>
      <c r="B666" s="98"/>
      <c r="C666" s="99"/>
      <c r="D666" s="100"/>
      <c r="E666" s="99" t="e">
        <f>VLOOKUP($C666,xe!$A:$B,2,0)</f>
        <v>#N/A</v>
      </c>
      <c r="F666" s="101" t="e">
        <f>VLOOKUP($B666,ma!$A:$B,2,0)</f>
        <v>#N/A</v>
      </c>
      <c r="G666" s="102"/>
      <c r="H666" s="103"/>
      <c r="I666" s="104"/>
      <c r="J666" s="99"/>
      <c r="K666" s="106"/>
      <c r="L666" s="107">
        <f t="shared" si="77"/>
        <v>0</v>
      </c>
      <c r="M666" s="104"/>
      <c r="N666" s="101"/>
      <c r="O666" s="101">
        <v>1</v>
      </c>
      <c r="P666" s="104" t="e">
        <f>VLOOKUP($B666,ma!$A:$C,3,0)</f>
        <v>#N/A</v>
      </c>
      <c r="Q666" s="140">
        <v>860000</v>
      </c>
      <c r="R666" s="138">
        <v>7.5999999999999998E-2</v>
      </c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spans="1:27" ht="14">
      <c r="A667" s="97">
        <f t="shared" si="78"/>
        <v>120</v>
      </c>
      <c r="B667" s="98"/>
      <c r="C667" s="99"/>
      <c r="D667" s="100"/>
      <c r="E667" s="99" t="e">
        <f>VLOOKUP($C667,xe!$A:$B,2,0)</f>
        <v>#N/A</v>
      </c>
      <c r="F667" s="101" t="e">
        <f>VLOOKUP($B667,ma!$A:$B,2,0)</f>
        <v>#N/A</v>
      </c>
      <c r="G667" s="102"/>
      <c r="H667" s="103"/>
      <c r="I667" s="104"/>
      <c r="J667" s="99"/>
      <c r="K667" s="106"/>
      <c r="L667" s="107">
        <f t="shared" si="77"/>
        <v>0</v>
      </c>
      <c r="M667" s="104"/>
      <c r="N667" s="101"/>
      <c r="O667" s="101">
        <v>1</v>
      </c>
      <c r="P667" s="104" t="e">
        <f>VLOOKUP($B667,ma!$A:$C,3,0)</f>
        <v>#N/A</v>
      </c>
      <c r="Q667" s="140">
        <v>860000</v>
      </c>
      <c r="R667" s="138">
        <v>7.5999999999999998E-2</v>
      </c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spans="1:27" ht="14">
      <c r="A668" s="97">
        <f t="shared" si="78"/>
        <v>121</v>
      </c>
      <c r="B668" s="98"/>
      <c r="C668" s="99"/>
      <c r="D668" s="100"/>
      <c r="E668" s="99" t="e">
        <f>VLOOKUP($C668,xe!$A:$B,2,0)</f>
        <v>#N/A</v>
      </c>
      <c r="F668" s="101" t="e">
        <f>VLOOKUP($B668,ma!$A:$B,2,0)</f>
        <v>#N/A</v>
      </c>
      <c r="G668" s="102"/>
      <c r="H668" s="103"/>
      <c r="I668" s="104"/>
      <c r="J668" s="99"/>
      <c r="K668" s="106"/>
      <c r="L668" s="107">
        <f t="shared" si="77"/>
        <v>0</v>
      </c>
      <c r="M668" s="104"/>
      <c r="N668" s="101"/>
      <c r="O668" s="101">
        <v>1</v>
      </c>
      <c r="P668" s="104" t="e">
        <f>VLOOKUP($B668,ma!$A:$C,3,0)</f>
        <v>#N/A</v>
      </c>
      <c r="Q668" s="140">
        <v>860000</v>
      </c>
      <c r="R668" s="138">
        <v>7.5999999999999998E-2</v>
      </c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spans="1:27" ht="14">
      <c r="A669" s="97">
        <f t="shared" si="78"/>
        <v>122</v>
      </c>
      <c r="B669" s="98"/>
      <c r="C669" s="99"/>
      <c r="D669" s="100"/>
      <c r="E669" s="99" t="e">
        <f>VLOOKUP($C669,xe!$A:$B,2,0)</f>
        <v>#N/A</v>
      </c>
      <c r="F669" s="101" t="e">
        <f>VLOOKUP($B669,ma!$A:$B,2,0)</f>
        <v>#N/A</v>
      </c>
      <c r="G669" s="102"/>
      <c r="H669" s="103"/>
      <c r="I669" s="104"/>
      <c r="J669" s="99"/>
      <c r="K669" s="106"/>
      <c r="L669" s="107">
        <f t="shared" si="77"/>
        <v>0</v>
      </c>
      <c r="M669" s="104"/>
      <c r="N669" s="101"/>
      <c r="O669" s="101">
        <v>1</v>
      </c>
      <c r="P669" s="104" t="e">
        <f>VLOOKUP($B669,ma!$A:$C,3,0)</f>
        <v>#N/A</v>
      </c>
      <c r="Q669" s="140">
        <v>860000</v>
      </c>
      <c r="R669" s="138">
        <v>7.5999999999999998E-2</v>
      </c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spans="1:27" ht="14">
      <c r="A670" s="97">
        <f t="shared" si="78"/>
        <v>123</v>
      </c>
      <c r="B670" s="98"/>
      <c r="C670" s="99"/>
      <c r="D670" s="100"/>
      <c r="E670" s="99" t="e">
        <f>VLOOKUP($C670,xe!$A:$B,2,0)</f>
        <v>#N/A</v>
      </c>
      <c r="F670" s="101" t="e">
        <f>VLOOKUP($B670,ma!$A:$B,2,0)</f>
        <v>#N/A</v>
      </c>
      <c r="G670" s="102"/>
      <c r="H670" s="103"/>
      <c r="I670" s="104"/>
      <c r="J670" s="99"/>
      <c r="K670" s="106"/>
      <c r="L670" s="107">
        <f t="shared" si="77"/>
        <v>0</v>
      </c>
      <c r="M670" s="104"/>
      <c r="N670" s="101"/>
      <c r="O670" s="101">
        <v>1</v>
      </c>
      <c r="P670" s="104" t="e">
        <f>VLOOKUP($B670,ma!$A:$C,3,0)</f>
        <v>#N/A</v>
      </c>
      <c r="Q670" s="140">
        <v>860000</v>
      </c>
      <c r="R670" s="138">
        <v>7.5999999999999998E-2</v>
      </c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spans="1:27" ht="14">
      <c r="A671" s="97">
        <f t="shared" si="78"/>
        <v>124</v>
      </c>
      <c r="B671" s="98"/>
      <c r="C671" s="99"/>
      <c r="D671" s="100"/>
      <c r="E671" s="99" t="e">
        <f>VLOOKUP($C671,xe!$A:$B,2,0)</f>
        <v>#N/A</v>
      </c>
      <c r="F671" s="101" t="e">
        <f>VLOOKUP($B671,ma!$A:$B,2,0)</f>
        <v>#N/A</v>
      </c>
      <c r="G671" s="102"/>
      <c r="H671" s="103"/>
      <c r="I671" s="104"/>
      <c r="J671" s="99"/>
      <c r="K671" s="106"/>
      <c r="L671" s="107">
        <f t="shared" si="77"/>
        <v>0</v>
      </c>
      <c r="M671" s="104"/>
      <c r="N671" s="101"/>
      <c r="O671" s="101">
        <v>1</v>
      </c>
      <c r="P671" s="104" t="e">
        <f>VLOOKUP($B671,ma!$A:$C,3,0)</f>
        <v>#N/A</v>
      </c>
      <c r="Q671" s="140">
        <v>860000</v>
      </c>
      <c r="R671" s="138">
        <v>7.5999999999999998E-2</v>
      </c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spans="1:27" ht="14">
      <c r="A672" s="97">
        <f t="shared" si="78"/>
        <v>125</v>
      </c>
      <c r="B672" s="98"/>
      <c r="C672" s="99"/>
      <c r="D672" s="100"/>
      <c r="E672" s="99" t="e">
        <f>VLOOKUP($C672,xe!$A:$B,2,0)</f>
        <v>#N/A</v>
      </c>
      <c r="F672" s="101" t="e">
        <f>VLOOKUP($B672,ma!$A:$B,2,0)</f>
        <v>#N/A</v>
      </c>
      <c r="G672" s="102"/>
      <c r="H672" s="103"/>
      <c r="I672" s="104"/>
      <c r="J672" s="99"/>
      <c r="K672" s="106"/>
      <c r="L672" s="107">
        <f t="shared" si="77"/>
        <v>0</v>
      </c>
      <c r="M672" s="104"/>
      <c r="N672" s="101"/>
      <c r="O672" s="101">
        <v>1</v>
      </c>
      <c r="P672" s="104" t="e">
        <f>VLOOKUP($B672,ma!$A:$C,3,0)</f>
        <v>#N/A</v>
      </c>
      <c r="Q672" s="140">
        <v>860000</v>
      </c>
      <c r="R672" s="138">
        <v>7.5999999999999998E-2</v>
      </c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spans="1:27" ht="14">
      <c r="A673" s="97">
        <f t="shared" si="78"/>
        <v>126</v>
      </c>
      <c r="B673" s="98"/>
      <c r="C673" s="99"/>
      <c r="D673" s="100"/>
      <c r="E673" s="99" t="e">
        <f>VLOOKUP($C673,xe!$A:$B,2,0)</f>
        <v>#N/A</v>
      </c>
      <c r="F673" s="101" t="e">
        <f>VLOOKUP($B673,ma!$A:$B,2,0)</f>
        <v>#N/A</v>
      </c>
      <c r="G673" s="102"/>
      <c r="H673" s="103"/>
      <c r="I673" s="104"/>
      <c r="J673" s="99"/>
      <c r="K673" s="106"/>
      <c r="L673" s="107">
        <f t="shared" si="77"/>
        <v>0</v>
      </c>
      <c r="M673" s="104"/>
      <c r="N673" s="101"/>
      <c r="O673" s="101">
        <v>1</v>
      </c>
      <c r="P673" s="104" t="e">
        <f>VLOOKUP($B673,ma!$A:$C,3,0)</f>
        <v>#N/A</v>
      </c>
      <c r="Q673" s="140">
        <v>860000</v>
      </c>
      <c r="R673" s="138">
        <v>7.5999999999999998E-2</v>
      </c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spans="1:27" ht="14">
      <c r="A674" s="97">
        <f t="shared" si="78"/>
        <v>127</v>
      </c>
      <c r="B674" s="98"/>
      <c r="C674" s="99"/>
      <c r="D674" s="100"/>
      <c r="E674" s="99" t="e">
        <f>VLOOKUP($C674,xe!$A:$B,2,0)</f>
        <v>#N/A</v>
      </c>
      <c r="F674" s="101" t="e">
        <f>VLOOKUP($B674,ma!$A:$B,2,0)</f>
        <v>#N/A</v>
      </c>
      <c r="G674" s="102"/>
      <c r="H674" s="103"/>
      <c r="I674" s="104"/>
      <c r="J674" s="99"/>
      <c r="K674" s="106"/>
      <c r="L674" s="107">
        <f t="shared" si="77"/>
        <v>0</v>
      </c>
      <c r="M674" s="104"/>
      <c r="N674" s="101"/>
      <c r="O674" s="101">
        <v>1</v>
      </c>
      <c r="P674" s="104" t="e">
        <f>VLOOKUP($B674,ma!$A:$C,3,0)</f>
        <v>#N/A</v>
      </c>
      <c r="Q674" s="140">
        <v>860000</v>
      </c>
      <c r="R674" s="138">
        <v>7.5999999999999998E-2</v>
      </c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spans="1:27" ht="14">
      <c r="A675" s="97">
        <f t="shared" si="78"/>
        <v>128</v>
      </c>
      <c r="B675" s="98"/>
      <c r="C675" s="99"/>
      <c r="D675" s="100"/>
      <c r="E675" s="99" t="e">
        <f>VLOOKUP($C675,xe!$A:$B,2,0)</f>
        <v>#N/A</v>
      </c>
      <c r="F675" s="101" t="e">
        <f>VLOOKUP($B675,ma!$A:$B,2,0)</f>
        <v>#N/A</v>
      </c>
      <c r="G675" s="102"/>
      <c r="H675" s="103"/>
      <c r="I675" s="104"/>
      <c r="J675" s="99"/>
      <c r="K675" s="106"/>
      <c r="L675" s="107">
        <f t="shared" si="77"/>
        <v>0</v>
      </c>
      <c r="M675" s="104"/>
      <c r="N675" s="101"/>
      <c r="O675" s="101">
        <v>1</v>
      </c>
      <c r="P675" s="104" t="e">
        <f>VLOOKUP($B675,ma!$A:$C,3,0)</f>
        <v>#N/A</v>
      </c>
      <c r="Q675" s="140">
        <v>860000</v>
      </c>
      <c r="R675" s="138">
        <v>7.5999999999999998E-2</v>
      </c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spans="1:27" ht="14">
      <c r="A676" s="97">
        <f t="shared" si="78"/>
        <v>129</v>
      </c>
      <c r="B676" s="98"/>
      <c r="C676" s="99"/>
      <c r="D676" s="100"/>
      <c r="E676" s="99" t="e">
        <f>VLOOKUP($C676,xe!$A:$B,2,0)</f>
        <v>#N/A</v>
      </c>
      <c r="F676" s="101" t="e">
        <f>VLOOKUP($B676,ma!$A:$B,2,0)</f>
        <v>#N/A</v>
      </c>
      <c r="G676" s="102"/>
      <c r="H676" s="103"/>
      <c r="I676" s="104"/>
      <c r="J676" s="99"/>
      <c r="K676" s="106"/>
      <c r="L676" s="107">
        <f t="shared" si="77"/>
        <v>0</v>
      </c>
      <c r="M676" s="104"/>
      <c r="N676" s="101"/>
      <c r="O676" s="101">
        <v>1</v>
      </c>
      <c r="P676" s="104" t="e">
        <f>VLOOKUP($B676,ma!$A:$C,3,0)</f>
        <v>#N/A</v>
      </c>
      <c r="Q676" s="140">
        <v>860000</v>
      </c>
      <c r="R676" s="138">
        <v>7.5999999999999998E-2</v>
      </c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spans="1:27" ht="14">
      <c r="A677" s="97">
        <f t="shared" si="78"/>
        <v>130</v>
      </c>
      <c r="B677" s="98"/>
      <c r="C677" s="99"/>
      <c r="D677" s="100"/>
      <c r="E677" s="99" t="e">
        <f>VLOOKUP($C677,xe!$A:$B,2,0)</f>
        <v>#N/A</v>
      </c>
      <c r="F677" s="101" t="e">
        <f>VLOOKUP($B677,ma!$A:$B,2,0)</f>
        <v>#N/A</v>
      </c>
      <c r="G677" s="102"/>
      <c r="H677" s="103"/>
      <c r="I677" s="104"/>
      <c r="J677" s="99"/>
      <c r="K677" s="106"/>
      <c r="L677" s="107">
        <f t="shared" si="77"/>
        <v>0</v>
      </c>
      <c r="M677" s="104"/>
      <c r="N677" s="101"/>
      <c r="O677" s="101">
        <v>1</v>
      </c>
      <c r="P677" s="104" t="e">
        <f>VLOOKUP($B677,ma!$A:$C,3,0)</f>
        <v>#N/A</v>
      </c>
      <c r="Q677" s="140">
        <v>860000</v>
      </c>
      <c r="R677" s="138">
        <v>7.5999999999999998E-2</v>
      </c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spans="1:27" ht="14">
      <c r="A678" s="97">
        <f t="shared" si="78"/>
        <v>131</v>
      </c>
      <c r="B678" s="98"/>
      <c r="C678" s="99"/>
      <c r="D678" s="100"/>
      <c r="E678" s="99" t="e">
        <f>VLOOKUP($C678,xe!$A:$B,2,0)</f>
        <v>#N/A</v>
      </c>
      <c r="F678" s="101" t="e">
        <f>VLOOKUP($B678,ma!$A:$B,2,0)</f>
        <v>#N/A</v>
      </c>
      <c r="G678" s="102"/>
      <c r="H678" s="103"/>
      <c r="I678" s="104"/>
      <c r="J678" s="99"/>
      <c r="K678" s="106"/>
      <c r="L678" s="107">
        <f t="shared" si="77"/>
        <v>0</v>
      </c>
      <c r="M678" s="104"/>
      <c r="N678" s="101"/>
      <c r="O678" s="101">
        <v>1</v>
      </c>
      <c r="P678" s="104" t="e">
        <f>VLOOKUP($B678,ma!$A:$C,3,0)</f>
        <v>#N/A</v>
      </c>
      <c r="Q678" s="140">
        <v>860000</v>
      </c>
      <c r="R678" s="138">
        <v>7.5999999999999998E-2</v>
      </c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spans="1:27" ht="14">
      <c r="A679" s="97">
        <f t="shared" si="78"/>
        <v>132</v>
      </c>
      <c r="B679" s="98"/>
      <c r="C679" s="99"/>
      <c r="D679" s="100"/>
      <c r="E679" s="99" t="e">
        <f>VLOOKUP($C679,xe!$A:$B,2,0)</f>
        <v>#N/A</v>
      </c>
      <c r="F679" s="101" t="e">
        <f>VLOOKUP($B679,ma!$A:$B,2,0)</f>
        <v>#N/A</v>
      </c>
      <c r="G679" s="102"/>
      <c r="H679" s="103"/>
      <c r="I679" s="104"/>
      <c r="J679" s="99"/>
      <c r="K679" s="106"/>
      <c r="L679" s="107">
        <f t="shared" si="77"/>
        <v>0</v>
      </c>
      <c r="M679" s="104"/>
      <c r="N679" s="101"/>
      <c r="O679" s="101">
        <v>1</v>
      </c>
      <c r="P679" s="104" t="e">
        <f>VLOOKUP($B679,ma!$A:$C,3,0)</f>
        <v>#N/A</v>
      </c>
      <c r="Q679" s="140">
        <v>860000</v>
      </c>
      <c r="R679" s="138">
        <v>7.5999999999999998E-2</v>
      </c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spans="1:27" ht="14">
      <c r="A680" s="97">
        <f t="shared" si="78"/>
        <v>133</v>
      </c>
      <c r="B680" s="98"/>
      <c r="C680" s="99"/>
      <c r="D680" s="100"/>
      <c r="E680" s="99" t="e">
        <f>VLOOKUP($C680,xe!$A:$B,2,0)</f>
        <v>#N/A</v>
      </c>
      <c r="F680" s="101" t="e">
        <f>VLOOKUP($B680,ma!$A:$B,2,0)</f>
        <v>#N/A</v>
      </c>
      <c r="G680" s="102"/>
      <c r="H680" s="103"/>
      <c r="I680" s="104"/>
      <c r="J680" s="99"/>
      <c r="K680" s="106"/>
      <c r="L680" s="107">
        <f t="shared" si="77"/>
        <v>0</v>
      </c>
      <c r="M680" s="104"/>
      <c r="N680" s="101"/>
      <c r="O680" s="101">
        <v>1</v>
      </c>
      <c r="P680" s="104" t="e">
        <f>VLOOKUP($B680,ma!$A:$C,3,0)</f>
        <v>#N/A</v>
      </c>
      <c r="Q680" s="140">
        <v>860000</v>
      </c>
      <c r="R680" s="138">
        <v>7.5999999999999998E-2</v>
      </c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spans="1:27" ht="14">
      <c r="A681" s="97">
        <f t="shared" si="78"/>
        <v>134</v>
      </c>
      <c r="B681" s="98"/>
      <c r="C681" s="99"/>
      <c r="D681" s="100"/>
      <c r="E681" s="99" t="e">
        <f>VLOOKUP($C681,xe!$A:$B,2,0)</f>
        <v>#N/A</v>
      </c>
      <c r="F681" s="101" t="e">
        <f>VLOOKUP($B681,ma!$A:$B,2,0)</f>
        <v>#N/A</v>
      </c>
      <c r="G681" s="102"/>
      <c r="H681" s="103"/>
      <c r="I681" s="104"/>
      <c r="J681" s="99"/>
      <c r="K681" s="106"/>
      <c r="L681" s="107">
        <f t="shared" si="77"/>
        <v>0</v>
      </c>
      <c r="M681" s="104"/>
      <c r="N681" s="101"/>
      <c r="O681" s="101">
        <v>1</v>
      </c>
      <c r="P681" s="104" t="e">
        <f>VLOOKUP($B681,ma!$A:$C,3,0)</f>
        <v>#N/A</v>
      </c>
      <c r="Q681" s="140">
        <v>860000</v>
      </c>
      <c r="R681" s="138">
        <v>7.5999999999999998E-2</v>
      </c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spans="1:27" ht="14">
      <c r="A682" s="97">
        <f t="shared" si="78"/>
        <v>135</v>
      </c>
      <c r="B682" s="98"/>
      <c r="C682" s="99"/>
      <c r="D682" s="100"/>
      <c r="E682" s="99" t="e">
        <f>VLOOKUP($C682,xe!$A:$B,2,0)</f>
        <v>#N/A</v>
      </c>
      <c r="F682" s="101" t="e">
        <f>VLOOKUP($B682,ma!$A:$B,2,0)</f>
        <v>#N/A</v>
      </c>
      <c r="G682" s="102"/>
      <c r="H682" s="103"/>
      <c r="I682" s="104"/>
      <c r="J682" s="99"/>
      <c r="K682" s="106"/>
      <c r="L682" s="107">
        <f t="shared" si="77"/>
        <v>0</v>
      </c>
      <c r="M682" s="104"/>
      <c r="N682" s="101"/>
      <c r="O682" s="101">
        <v>1</v>
      </c>
      <c r="P682" s="104" t="e">
        <f>VLOOKUP($B682,ma!$A:$C,3,0)</f>
        <v>#N/A</v>
      </c>
      <c r="Q682" s="140">
        <v>860000</v>
      </c>
      <c r="R682" s="138">
        <v>7.5999999999999998E-2</v>
      </c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spans="1:27" ht="14">
      <c r="A683" s="97">
        <f t="shared" si="78"/>
        <v>136</v>
      </c>
      <c r="B683" s="98"/>
      <c r="C683" s="99"/>
      <c r="D683" s="100"/>
      <c r="E683" s="99" t="e">
        <f>VLOOKUP($C683,xe!$A:$B,2,0)</f>
        <v>#N/A</v>
      </c>
      <c r="F683" s="101" t="e">
        <f>VLOOKUP($B683,ma!$A:$B,2,0)</f>
        <v>#N/A</v>
      </c>
      <c r="G683" s="102"/>
      <c r="H683" s="103"/>
      <c r="I683" s="104"/>
      <c r="J683" s="99"/>
      <c r="K683" s="106"/>
      <c r="L683" s="107">
        <f t="shared" si="77"/>
        <v>0</v>
      </c>
      <c r="M683" s="104"/>
      <c r="N683" s="101"/>
      <c r="O683" s="101">
        <v>1</v>
      </c>
      <c r="P683" s="104" t="e">
        <f>VLOOKUP($B683,ma!$A:$C,3,0)</f>
        <v>#N/A</v>
      </c>
      <c r="Q683" s="140">
        <v>860000</v>
      </c>
      <c r="R683" s="138">
        <v>7.5999999999999998E-2</v>
      </c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spans="1:27" ht="14">
      <c r="A684" s="97">
        <f t="shared" si="78"/>
        <v>137</v>
      </c>
      <c r="B684" s="98"/>
      <c r="C684" s="99"/>
      <c r="D684" s="100"/>
      <c r="E684" s="99" t="e">
        <f>VLOOKUP($C684,xe!$A:$B,2,0)</f>
        <v>#N/A</v>
      </c>
      <c r="F684" s="101" t="e">
        <f>VLOOKUP($B684,ma!$A:$B,2,0)</f>
        <v>#N/A</v>
      </c>
      <c r="G684" s="102"/>
      <c r="H684" s="103"/>
      <c r="I684" s="104"/>
      <c r="J684" s="99"/>
      <c r="K684" s="106"/>
      <c r="L684" s="107">
        <f t="shared" si="77"/>
        <v>0</v>
      </c>
      <c r="M684" s="104"/>
      <c r="N684" s="101"/>
      <c r="O684" s="101">
        <v>1</v>
      </c>
      <c r="P684" s="104" t="e">
        <f>VLOOKUP($B684,ma!$A:$C,3,0)</f>
        <v>#N/A</v>
      </c>
      <c r="Q684" s="140">
        <v>860000</v>
      </c>
      <c r="R684" s="138">
        <v>7.5999999999999998E-2</v>
      </c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spans="1:27" ht="14">
      <c r="A685" s="97">
        <f t="shared" si="78"/>
        <v>138</v>
      </c>
      <c r="B685" s="98"/>
      <c r="C685" s="99"/>
      <c r="D685" s="100"/>
      <c r="E685" s="99" t="e">
        <f>VLOOKUP($C685,xe!$A:$B,2,0)</f>
        <v>#N/A</v>
      </c>
      <c r="F685" s="101" t="e">
        <f>VLOOKUP($B685,ma!$A:$B,2,0)</f>
        <v>#N/A</v>
      </c>
      <c r="G685" s="102"/>
      <c r="H685" s="103"/>
      <c r="I685" s="104"/>
      <c r="J685" s="99"/>
      <c r="K685" s="106"/>
      <c r="L685" s="107">
        <f t="shared" si="77"/>
        <v>0</v>
      </c>
      <c r="M685" s="104"/>
      <c r="N685" s="101"/>
      <c r="O685" s="101">
        <v>1</v>
      </c>
      <c r="P685" s="104" t="e">
        <f>VLOOKUP($B685,ma!$A:$C,3,0)</f>
        <v>#N/A</v>
      </c>
      <c r="Q685" s="140">
        <v>860000</v>
      </c>
      <c r="R685" s="138">
        <v>7.5999999999999998E-2</v>
      </c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spans="1:27" ht="14">
      <c r="A686" s="97">
        <f t="shared" si="78"/>
        <v>139</v>
      </c>
      <c r="B686" s="98"/>
      <c r="C686" s="99"/>
      <c r="D686" s="100"/>
      <c r="E686" s="99" t="e">
        <f>VLOOKUP($C686,xe!$A:$B,2,0)</f>
        <v>#N/A</v>
      </c>
      <c r="F686" s="101" t="e">
        <f>VLOOKUP($B686,ma!$A:$B,2,0)</f>
        <v>#N/A</v>
      </c>
      <c r="G686" s="102"/>
      <c r="H686" s="103"/>
      <c r="I686" s="104"/>
      <c r="J686" s="99"/>
      <c r="K686" s="106"/>
      <c r="L686" s="107">
        <f t="shared" si="77"/>
        <v>0</v>
      </c>
      <c r="M686" s="104"/>
      <c r="N686" s="101"/>
      <c r="O686" s="101">
        <v>1</v>
      </c>
      <c r="P686" s="104" t="e">
        <f>VLOOKUP($B686,ma!$A:$C,3,0)</f>
        <v>#N/A</v>
      </c>
      <c r="Q686" s="140">
        <v>860000</v>
      </c>
      <c r="R686" s="138">
        <v>7.5999999999999998E-2</v>
      </c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spans="1:27" ht="14">
      <c r="A687" s="97">
        <f t="shared" si="78"/>
        <v>140</v>
      </c>
      <c r="B687" s="98"/>
      <c r="C687" s="99"/>
      <c r="D687" s="100"/>
      <c r="E687" s="99" t="e">
        <f>VLOOKUP($C687,xe!$A:$B,2,0)</f>
        <v>#N/A</v>
      </c>
      <c r="F687" s="101" t="e">
        <f>VLOOKUP($B687,ma!$A:$B,2,0)</f>
        <v>#N/A</v>
      </c>
      <c r="G687" s="102"/>
      <c r="H687" s="103"/>
      <c r="I687" s="104"/>
      <c r="J687" s="99"/>
      <c r="K687" s="106"/>
      <c r="L687" s="107">
        <f t="shared" si="77"/>
        <v>0</v>
      </c>
      <c r="M687" s="104"/>
      <c r="N687" s="101"/>
      <c r="O687" s="101">
        <v>1</v>
      </c>
      <c r="P687" s="104" t="e">
        <f>VLOOKUP($B687,ma!$A:$C,3,0)</f>
        <v>#N/A</v>
      </c>
      <c r="Q687" s="140">
        <v>860000</v>
      </c>
      <c r="R687" s="138">
        <v>7.5999999999999998E-2</v>
      </c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spans="1:27" ht="14">
      <c r="A688" s="97">
        <f t="shared" si="78"/>
        <v>141</v>
      </c>
      <c r="B688" s="98"/>
      <c r="C688" s="99"/>
      <c r="D688" s="100"/>
      <c r="E688" s="99" t="e">
        <f>VLOOKUP($C688,xe!$A:$B,2,0)</f>
        <v>#N/A</v>
      </c>
      <c r="F688" s="101" t="e">
        <f>VLOOKUP($B688,ma!$A:$B,2,0)</f>
        <v>#N/A</v>
      </c>
      <c r="G688" s="102"/>
      <c r="H688" s="103"/>
      <c r="I688" s="104"/>
      <c r="J688" s="99"/>
      <c r="K688" s="106"/>
      <c r="L688" s="107">
        <f t="shared" si="77"/>
        <v>0</v>
      </c>
      <c r="M688" s="104"/>
      <c r="N688" s="101"/>
      <c r="O688" s="101">
        <v>1</v>
      </c>
      <c r="P688" s="104" t="e">
        <f>VLOOKUP($B688,ma!$A:$C,3,0)</f>
        <v>#N/A</v>
      </c>
      <c r="Q688" s="140">
        <v>860000</v>
      </c>
      <c r="R688" s="138">
        <v>7.5999999999999998E-2</v>
      </c>
      <c r="S688" s="111"/>
      <c r="T688" s="111"/>
      <c r="U688" s="111"/>
      <c r="V688" s="111"/>
      <c r="W688" s="111"/>
      <c r="X688" s="111"/>
      <c r="Y688" s="111"/>
      <c r="Z688" s="111"/>
      <c r="AA688" s="111"/>
    </row>
    <row r="689" spans="1:27" ht="14">
      <c r="A689" s="97">
        <f t="shared" si="78"/>
        <v>142</v>
      </c>
      <c r="B689" s="98"/>
      <c r="C689" s="99"/>
      <c r="D689" s="100"/>
      <c r="E689" s="99" t="e">
        <f>VLOOKUP($C689,xe!$A:$B,2,0)</f>
        <v>#N/A</v>
      </c>
      <c r="F689" s="101" t="e">
        <f>VLOOKUP($B689,ma!$A:$B,2,0)</f>
        <v>#N/A</v>
      </c>
      <c r="G689" s="102"/>
      <c r="H689" s="103"/>
      <c r="I689" s="104"/>
      <c r="J689" s="99"/>
      <c r="K689" s="106"/>
      <c r="L689" s="107">
        <f t="shared" si="77"/>
        <v>0</v>
      </c>
      <c r="M689" s="104"/>
      <c r="N689" s="101"/>
      <c r="O689" s="101">
        <v>1</v>
      </c>
      <c r="P689" s="104" t="e">
        <f>VLOOKUP($B689,ma!$A:$C,3,0)</f>
        <v>#N/A</v>
      </c>
      <c r="Q689" s="140">
        <v>860000</v>
      </c>
      <c r="R689" s="138">
        <v>7.5999999999999998E-2</v>
      </c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spans="1:27" ht="14">
      <c r="A690" s="97">
        <f t="shared" si="78"/>
        <v>143</v>
      </c>
      <c r="B690" s="98"/>
      <c r="C690" s="99"/>
      <c r="D690" s="100"/>
      <c r="E690" s="99" t="e">
        <f>VLOOKUP($C690,xe!$A:$B,2,0)</f>
        <v>#N/A</v>
      </c>
      <c r="F690" s="101" t="e">
        <f>VLOOKUP($B690,ma!$A:$B,2,0)</f>
        <v>#N/A</v>
      </c>
      <c r="G690" s="102"/>
      <c r="H690" s="103"/>
      <c r="I690" s="104"/>
      <c r="J690" s="99"/>
      <c r="K690" s="106"/>
      <c r="L690" s="107">
        <f t="shared" si="77"/>
        <v>0</v>
      </c>
      <c r="M690" s="104"/>
      <c r="N690" s="101"/>
      <c r="O690" s="101">
        <v>1</v>
      </c>
      <c r="P690" s="104" t="e">
        <f>VLOOKUP($B690,ma!$A:$C,3,0)</f>
        <v>#N/A</v>
      </c>
      <c r="Q690" s="140">
        <v>860000</v>
      </c>
      <c r="R690" s="138">
        <v>7.5999999999999998E-2</v>
      </c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spans="1:27" ht="14">
      <c r="A691" s="97">
        <f t="shared" si="78"/>
        <v>144</v>
      </c>
      <c r="B691" s="98"/>
      <c r="C691" s="99"/>
      <c r="D691" s="100"/>
      <c r="E691" s="99" t="e">
        <f>VLOOKUP($C691,xe!$A:$B,2,0)</f>
        <v>#N/A</v>
      </c>
      <c r="F691" s="101" t="e">
        <f>VLOOKUP($B691,ma!$A:$B,2,0)</f>
        <v>#N/A</v>
      </c>
      <c r="G691" s="102"/>
      <c r="H691" s="103"/>
      <c r="I691" s="104"/>
      <c r="J691" s="99"/>
      <c r="K691" s="106"/>
      <c r="L691" s="107">
        <f t="shared" si="77"/>
        <v>0</v>
      </c>
      <c r="M691" s="104"/>
      <c r="N691" s="101"/>
      <c r="O691" s="101">
        <v>1</v>
      </c>
      <c r="P691" s="104" t="e">
        <f>VLOOKUP($B691,ma!$A:$C,3,0)</f>
        <v>#N/A</v>
      </c>
      <c r="Q691" s="140">
        <v>860000</v>
      </c>
      <c r="R691" s="138">
        <v>7.5999999999999998E-2</v>
      </c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spans="1:27" ht="14">
      <c r="A692" s="97">
        <f t="shared" si="78"/>
        <v>145</v>
      </c>
      <c r="B692" s="98"/>
      <c r="C692" s="99"/>
      <c r="D692" s="100"/>
      <c r="E692" s="99" t="e">
        <f>VLOOKUP($C692,xe!$A:$B,2,0)</f>
        <v>#N/A</v>
      </c>
      <c r="F692" s="101" t="e">
        <f>VLOOKUP($B692,ma!$A:$B,2,0)</f>
        <v>#N/A</v>
      </c>
      <c r="G692" s="102"/>
      <c r="H692" s="103"/>
      <c r="I692" s="104"/>
      <c r="J692" s="99"/>
      <c r="K692" s="106"/>
      <c r="L692" s="107">
        <f t="shared" si="77"/>
        <v>0</v>
      </c>
      <c r="M692" s="104"/>
      <c r="N692" s="101"/>
      <c r="O692" s="101">
        <v>1</v>
      </c>
      <c r="P692" s="104" t="e">
        <f>VLOOKUP($B692,ma!$A:$C,3,0)</f>
        <v>#N/A</v>
      </c>
      <c r="Q692" s="140">
        <v>860000</v>
      </c>
      <c r="R692" s="138">
        <v>7.5999999999999998E-2</v>
      </c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spans="1:27" ht="14">
      <c r="A693" s="97">
        <f t="shared" si="78"/>
        <v>146</v>
      </c>
      <c r="B693" s="98"/>
      <c r="C693" s="99"/>
      <c r="D693" s="100"/>
      <c r="E693" s="99" t="e">
        <f>VLOOKUP($C693,xe!$A:$B,2,0)</f>
        <v>#N/A</v>
      </c>
      <c r="F693" s="101" t="e">
        <f>VLOOKUP($B693,ma!$A:$B,2,0)</f>
        <v>#N/A</v>
      </c>
      <c r="G693" s="102"/>
      <c r="H693" s="103"/>
      <c r="I693" s="104"/>
      <c r="J693" s="99"/>
      <c r="K693" s="106"/>
      <c r="L693" s="107">
        <f t="shared" si="77"/>
        <v>0</v>
      </c>
      <c r="M693" s="104"/>
      <c r="N693" s="101"/>
      <c r="O693" s="101">
        <v>1</v>
      </c>
      <c r="P693" s="104" t="e">
        <f>VLOOKUP($B693,ma!$A:$C,3,0)</f>
        <v>#N/A</v>
      </c>
      <c r="Q693" s="140">
        <v>860000</v>
      </c>
      <c r="R693" s="138">
        <v>7.5999999999999998E-2</v>
      </c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spans="1:27" ht="14">
      <c r="A694" s="97">
        <f t="shared" si="78"/>
        <v>147</v>
      </c>
      <c r="B694" s="98"/>
      <c r="C694" s="99"/>
      <c r="D694" s="100"/>
      <c r="E694" s="99" t="e">
        <f>VLOOKUP($C694,xe!$A:$B,2,0)</f>
        <v>#N/A</v>
      </c>
      <c r="F694" s="101" t="e">
        <f>VLOOKUP($B694,ma!$A:$B,2,0)</f>
        <v>#N/A</v>
      </c>
      <c r="G694" s="102"/>
      <c r="H694" s="103"/>
      <c r="I694" s="104"/>
      <c r="J694" s="99"/>
      <c r="K694" s="106"/>
      <c r="L694" s="107">
        <f t="shared" si="77"/>
        <v>0</v>
      </c>
      <c r="M694" s="104"/>
      <c r="N694" s="101"/>
      <c r="O694" s="101">
        <v>1</v>
      </c>
      <c r="P694" s="104" t="e">
        <f>VLOOKUP($B694,ma!$A:$C,3,0)</f>
        <v>#N/A</v>
      </c>
      <c r="Q694" s="140">
        <v>860000</v>
      </c>
      <c r="R694" s="138">
        <v>7.5999999999999998E-2</v>
      </c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spans="1:27" ht="14">
      <c r="A695" s="97">
        <f t="shared" si="78"/>
        <v>148</v>
      </c>
      <c r="B695" s="98"/>
      <c r="C695" s="99"/>
      <c r="D695" s="100"/>
      <c r="E695" s="99" t="e">
        <f>VLOOKUP($C695,xe!$A:$B,2,0)</f>
        <v>#N/A</v>
      </c>
      <c r="F695" s="101" t="e">
        <f>VLOOKUP($B695,ma!$A:$B,2,0)</f>
        <v>#N/A</v>
      </c>
      <c r="G695" s="102"/>
      <c r="H695" s="103"/>
      <c r="I695" s="104"/>
      <c r="J695" s="99"/>
      <c r="K695" s="106"/>
      <c r="L695" s="107">
        <f t="shared" si="77"/>
        <v>0</v>
      </c>
      <c r="M695" s="104"/>
      <c r="N695" s="101"/>
      <c r="O695" s="101">
        <v>1</v>
      </c>
      <c r="P695" s="104" t="e">
        <f>VLOOKUP($B695,ma!$A:$C,3,0)</f>
        <v>#N/A</v>
      </c>
      <c r="Q695" s="140">
        <v>860000</v>
      </c>
      <c r="R695" s="138">
        <v>7.5999999999999998E-2</v>
      </c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spans="1:27" ht="14">
      <c r="A696" s="97">
        <f t="shared" si="78"/>
        <v>149</v>
      </c>
      <c r="B696" s="98"/>
      <c r="C696" s="99"/>
      <c r="D696" s="100"/>
      <c r="E696" s="99" t="e">
        <f>VLOOKUP($C696,xe!$A:$B,2,0)</f>
        <v>#N/A</v>
      </c>
      <c r="F696" s="101" t="e">
        <f>VLOOKUP($B696,ma!$A:$B,2,0)</f>
        <v>#N/A</v>
      </c>
      <c r="G696" s="102"/>
      <c r="H696" s="103"/>
      <c r="I696" s="104"/>
      <c r="J696" s="99"/>
      <c r="K696" s="106"/>
      <c r="L696" s="107">
        <f t="shared" si="77"/>
        <v>0</v>
      </c>
      <c r="M696" s="104"/>
      <c r="N696" s="101"/>
      <c r="O696" s="101">
        <v>1</v>
      </c>
      <c r="P696" s="104" t="e">
        <f>VLOOKUP($B696,ma!$A:$C,3,0)</f>
        <v>#N/A</v>
      </c>
      <c r="Q696" s="140">
        <v>860000</v>
      </c>
      <c r="R696" s="138">
        <v>7.5999999999999998E-2</v>
      </c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spans="1:27" ht="14">
      <c r="A697" s="97">
        <f t="shared" si="78"/>
        <v>150</v>
      </c>
      <c r="B697" s="98"/>
      <c r="C697" s="99"/>
      <c r="D697" s="100"/>
      <c r="E697" s="99" t="e">
        <f>VLOOKUP($C697,xe!$A:$B,2,0)</f>
        <v>#N/A</v>
      </c>
      <c r="F697" s="101" t="e">
        <f>VLOOKUP($B697,ma!$A:$B,2,0)</f>
        <v>#N/A</v>
      </c>
      <c r="G697" s="102"/>
      <c r="H697" s="103"/>
      <c r="I697" s="104"/>
      <c r="J697" s="99"/>
      <c r="K697" s="106"/>
      <c r="L697" s="107">
        <f t="shared" si="77"/>
        <v>0</v>
      </c>
      <c r="M697" s="104"/>
      <c r="N697" s="101"/>
      <c r="O697" s="101">
        <v>1</v>
      </c>
      <c r="P697" s="104" t="e">
        <f>VLOOKUP($B697,ma!$A:$C,3,0)</f>
        <v>#N/A</v>
      </c>
      <c r="Q697" s="140">
        <v>860000</v>
      </c>
      <c r="R697" s="138">
        <v>7.5999999999999998E-2</v>
      </c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spans="1:27" ht="14">
      <c r="A698" s="97">
        <f t="shared" si="78"/>
        <v>151</v>
      </c>
      <c r="B698" s="98"/>
      <c r="C698" s="99"/>
      <c r="D698" s="100"/>
      <c r="E698" s="99" t="e">
        <f>VLOOKUP($C698,xe!$A:$B,2,0)</f>
        <v>#N/A</v>
      </c>
      <c r="F698" s="101" t="e">
        <f>VLOOKUP($B698,ma!$A:$B,2,0)</f>
        <v>#N/A</v>
      </c>
      <c r="G698" s="102"/>
      <c r="H698" s="103"/>
      <c r="I698" s="104"/>
      <c r="J698" s="99"/>
      <c r="K698" s="106"/>
      <c r="L698" s="107">
        <f t="shared" si="77"/>
        <v>0</v>
      </c>
      <c r="M698" s="104"/>
      <c r="N698" s="101"/>
      <c r="O698" s="101">
        <v>1</v>
      </c>
      <c r="P698" s="104" t="e">
        <f>VLOOKUP($B698,ma!$A:$C,3,0)</f>
        <v>#N/A</v>
      </c>
      <c r="Q698" s="140">
        <v>860000</v>
      </c>
      <c r="R698" s="138">
        <v>7.5999999999999998E-2</v>
      </c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spans="1:27" ht="14">
      <c r="A699" s="97">
        <f t="shared" si="78"/>
        <v>152</v>
      </c>
      <c r="B699" s="98"/>
      <c r="C699" s="99"/>
      <c r="D699" s="100"/>
      <c r="E699" s="99" t="e">
        <f>VLOOKUP($C699,xe!$A:$B,2,0)</f>
        <v>#N/A</v>
      </c>
      <c r="F699" s="101" t="e">
        <f>VLOOKUP($B699,ma!$A:$B,2,0)</f>
        <v>#N/A</v>
      </c>
      <c r="G699" s="102"/>
      <c r="H699" s="103"/>
      <c r="I699" s="104"/>
      <c r="J699" s="99"/>
      <c r="K699" s="106"/>
      <c r="L699" s="107">
        <f t="shared" si="77"/>
        <v>0</v>
      </c>
      <c r="M699" s="104"/>
      <c r="N699" s="101"/>
      <c r="O699" s="101">
        <v>1</v>
      </c>
      <c r="P699" s="104" t="e">
        <f>VLOOKUP($B699,ma!$A:$C,3,0)</f>
        <v>#N/A</v>
      </c>
      <c r="Q699" s="140">
        <v>860000</v>
      </c>
      <c r="R699" s="138">
        <v>7.5999999999999998E-2</v>
      </c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spans="1:27" ht="14">
      <c r="A700" s="97">
        <f t="shared" si="78"/>
        <v>153</v>
      </c>
      <c r="B700" s="98"/>
      <c r="C700" s="99"/>
      <c r="D700" s="100"/>
      <c r="E700" s="99" t="e">
        <f>VLOOKUP($C700,xe!$A:$B,2,0)</f>
        <v>#N/A</v>
      </c>
      <c r="F700" s="101" t="e">
        <f>VLOOKUP($B700,ma!$A:$B,2,0)</f>
        <v>#N/A</v>
      </c>
      <c r="G700" s="102"/>
      <c r="H700" s="103"/>
      <c r="I700" s="104"/>
      <c r="J700" s="99"/>
      <c r="K700" s="106"/>
      <c r="L700" s="107">
        <f t="shared" si="77"/>
        <v>0</v>
      </c>
      <c r="M700" s="104"/>
      <c r="N700" s="101"/>
      <c r="O700" s="101">
        <v>1</v>
      </c>
      <c r="P700" s="104" t="e">
        <f>VLOOKUP($B700,ma!$A:$C,3,0)</f>
        <v>#N/A</v>
      </c>
      <c r="Q700" s="140">
        <v>860000</v>
      </c>
      <c r="R700" s="138">
        <v>7.5999999999999998E-2</v>
      </c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spans="1:27" ht="14">
      <c r="A701" s="97">
        <f t="shared" si="78"/>
        <v>154</v>
      </c>
      <c r="B701" s="98"/>
      <c r="C701" s="99"/>
      <c r="D701" s="100"/>
      <c r="E701" s="99" t="e">
        <f>VLOOKUP($C701,xe!$A:$B,2,0)</f>
        <v>#N/A</v>
      </c>
      <c r="F701" s="101" t="e">
        <f>VLOOKUP($B701,ma!$A:$B,2,0)</f>
        <v>#N/A</v>
      </c>
      <c r="G701" s="102"/>
      <c r="H701" s="103"/>
      <c r="I701" s="104"/>
      <c r="J701" s="99"/>
      <c r="K701" s="106"/>
      <c r="L701" s="107">
        <f t="shared" si="77"/>
        <v>0</v>
      </c>
      <c r="M701" s="104"/>
      <c r="N701" s="101"/>
      <c r="O701" s="101">
        <v>1</v>
      </c>
      <c r="P701" s="104" t="e">
        <f>VLOOKUP($B701,ma!$A:$C,3,0)</f>
        <v>#N/A</v>
      </c>
      <c r="Q701" s="140">
        <v>860000</v>
      </c>
      <c r="R701" s="138">
        <v>7.5999999999999998E-2</v>
      </c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spans="1:27" ht="14">
      <c r="A702" s="97">
        <f t="shared" si="78"/>
        <v>155</v>
      </c>
      <c r="B702" s="98"/>
      <c r="C702" s="99"/>
      <c r="D702" s="100"/>
      <c r="E702" s="99" t="e">
        <f>VLOOKUP($C702,xe!$A:$B,2,0)</f>
        <v>#N/A</v>
      </c>
      <c r="F702" s="101" t="e">
        <f>VLOOKUP($B702,ma!$A:$B,2,0)</f>
        <v>#N/A</v>
      </c>
      <c r="G702" s="102"/>
      <c r="H702" s="103"/>
      <c r="I702" s="104"/>
      <c r="J702" s="99"/>
      <c r="K702" s="106"/>
      <c r="L702" s="107">
        <f t="shared" si="77"/>
        <v>0</v>
      </c>
      <c r="M702" s="104"/>
      <c r="N702" s="101"/>
      <c r="O702" s="101">
        <v>1</v>
      </c>
      <c r="P702" s="104" t="e">
        <f>VLOOKUP($B702,ma!$A:$C,3,0)</f>
        <v>#N/A</v>
      </c>
      <c r="Q702" s="140">
        <v>860000</v>
      </c>
      <c r="R702" s="138">
        <v>7.5999999999999998E-2</v>
      </c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spans="1:27" ht="16.5" customHeight="1">
      <c r="A703" s="97">
        <f t="shared" si="78"/>
        <v>156</v>
      </c>
      <c r="B703" s="98"/>
      <c r="C703" s="99"/>
      <c r="D703" s="100"/>
      <c r="E703" s="99" t="e">
        <f>VLOOKUP($C703,xe!$A:$B,2,0)</f>
        <v>#N/A</v>
      </c>
      <c r="F703" s="101" t="e">
        <f>VLOOKUP($B703,ma!$A:$B,2,0)</f>
        <v>#N/A</v>
      </c>
      <c r="G703" s="102"/>
      <c r="H703" s="103"/>
      <c r="I703" s="104"/>
      <c r="J703" s="99"/>
      <c r="K703" s="106"/>
      <c r="L703" s="107">
        <f t="shared" si="77"/>
        <v>0</v>
      </c>
      <c r="M703" s="104"/>
      <c r="N703" s="101"/>
      <c r="O703" s="101">
        <v>1</v>
      </c>
      <c r="P703" s="104" t="e">
        <f>VLOOKUP($B703,ma!$A:$C,3,0)</f>
        <v>#N/A</v>
      </c>
      <c r="Q703" s="140">
        <v>860000</v>
      </c>
      <c r="R703" s="138">
        <v>7.5999999999999998E-2</v>
      </c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spans="1:27" ht="14">
      <c r="A704" s="97">
        <f t="shared" si="78"/>
        <v>157</v>
      </c>
      <c r="B704" s="98"/>
      <c r="C704" s="99"/>
      <c r="D704" s="100"/>
      <c r="E704" s="99" t="e">
        <f>VLOOKUP($C704,xe!$A:$B,2,0)</f>
        <v>#N/A</v>
      </c>
      <c r="F704" s="101" t="e">
        <f>VLOOKUP($B704,ma!$A:$B,2,0)</f>
        <v>#N/A</v>
      </c>
      <c r="G704" s="102"/>
      <c r="H704" s="103"/>
      <c r="I704" s="104"/>
      <c r="J704" s="99"/>
      <c r="K704" s="106"/>
      <c r="L704" s="107">
        <f t="shared" si="77"/>
        <v>0</v>
      </c>
      <c r="M704" s="104"/>
      <c r="N704" s="101"/>
      <c r="O704" s="101">
        <v>1</v>
      </c>
      <c r="P704" s="104" t="e">
        <f>VLOOKUP($B704,ma!$A:$C,3,0)</f>
        <v>#N/A</v>
      </c>
      <c r="Q704" s="140">
        <v>860000</v>
      </c>
      <c r="R704" s="138">
        <v>7.5999999999999998E-2</v>
      </c>
      <c r="S704" s="111"/>
      <c r="T704" s="111"/>
      <c r="U704" s="111"/>
      <c r="V704" s="111"/>
      <c r="W704" s="111"/>
      <c r="X704" s="111"/>
      <c r="Y704" s="111"/>
      <c r="Z704" s="111"/>
      <c r="AA704" s="111"/>
    </row>
    <row r="705" spans="1:27" ht="14">
      <c r="A705" s="97">
        <f t="shared" si="78"/>
        <v>158</v>
      </c>
      <c r="B705" s="98"/>
      <c r="C705" s="99"/>
      <c r="D705" s="100"/>
      <c r="E705" s="99" t="e">
        <f>VLOOKUP($C705,xe!$A:$B,2,0)</f>
        <v>#N/A</v>
      </c>
      <c r="F705" s="101" t="e">
        <f>VLOOKUP($B705,ma!$A:$B,2,0)</f>
        <v>#N/A</v>
      </c>
      <c r="G705" s="102"/>
      <c r="H705" s="103"/>
      <c r="I705" s="104"/>
      <c r="J705" s="99"/>
      <c r="K705" s="106"/>
      <c r="L705" s="107">
        <f t="shared" si="77"/>
        <v>0</v>
      </c>
      <c r="M705" s="104"/>
      <c r="N705" s="101"/>
      <c r="O705" s="101">
        <v>1</v>
      </c>
      <c r="P705" s="104" t="e">
        <f>VLOOKUP($B705,ma!$A:$C,3,0)</f>
        <v>#N/A</v>
      </c>
      <c r="Q705" s="140">
        <v>860000</v>
      </c>
      <c r="R705" s="138">
        <v>7.5999999999999998E-2</v>
      </c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spans="1:27" ht="14">
      <c r="A706" s="97">
        <f t="shared" si="78"/>
        <v>159</v>
      </c>
      <c r="B706" s="98"/>
      <c r="C706" s="99"/>
      <c r="D706" s="100"/>
      <c r="E706" s="99" t="e">
        <f>VLOOKUP($C706,xe!$A:$B,2,0)</f>
        <v>#N/A</v>
      </c>
      <c r="F706" s="101" t="e">
        <f>VLOOKUP($B706,ma!$A:$B,2,0)</f>
        <v>#N/A</v>
      </c>
      <c r="G706" s="102"/>
      <c r="H706" s="103"/>
      <c r="I706" s="104"/>
      <c r="J706" s="99"/>
      <c r="K706" s="106"/>
      <c r="L706" s="107">
        <f t="shared" si="77"/>
        <v>0</v>
      </c>
      <c r="M706" s="104"/>
      <c r="N706" s="101"/>
      <c r="O706" s="101">
        <v>1</v>
      </c>
      <c r="P706" s="104" t="e">
        <f>VLOOKUP($B706,ma!$A:$C,3,0)</f>
        <v>#N/A</v>
      </c>
      <c r="Q706" s="140">
        <v>860000</v>
      </c>
      <c r="R706" s="138">
        <v>7.5999999999999998E-2</v>
      </c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spans="1:27" ht="14">
      <c r="A707" s="97">
        <f t="shared" si="78"/>
        <v>160</v>
      </c>
      <c r="B707" s="98"/>
      <c r="C707" s="99"/>
      <c r="D707" s="100"/>
      <c r="E707" s="99" t="e">
        <f>VLOOKUP($C707,xe!$A:$B,2,0)</f>
        <v>#N/A</v>
      </c>
      <c r="F707" s="101" t="e">
        <f>VLOOKUP($B707,ma!$A:$B,2,0)</f>
        <v>#N/A</v>
      </c>
      <c r="G707" s="102"/>
      <c r="H707" s="103"/>
      <c r="I707" s="104"/>
      <c r="J707" s="99"/>
      <c r="K707" s="106"/>
      <c r="L707" s="107">
        <f t="shared" si="77"/>
        <v>0</v>
      </c>
      <c r="M707" s="104"/>
      <c r="N707" s="101"/>
      <c r="O707" s="101">
        <v>1</v>
      </c>
      <c r="P707" s="104" t="e">
        <f>VLOOKUP($B707,ma!$A:$C,3,0)</f>
        <v>#N/A</v>
      </c>
      <c r="Q707" s="140">
        <v>860000</v>
      </c>
      <c r="R707" s="138">
        <v>7.5999999999999998E-2</v>
      </c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spans="1:27" ht="14">
      <c r="A708" s="97">
        <f t="shared" si="78"/>
        <v>161</v>
      </c>
      <c r="B708" s="98"/>
      <c r="C708" s="99"/>
      <c r="D708" s="100"/>
      <c r="E708" s="99" t="e">
        <f>VLOOKUP($C708,xe!$A:$B,2,0)</f>
        <v>#N/A</v>
      </c>
      <c r="F708" s="101" t="e">
        <f>VLOOKUP($B708,ma!$A:$B,2,0)</f>
        <v>#N/A</v>
      </c>
      <c r="G708" s="102"/>
      <c r="H708" s="103"/>
      <c r="I708" s="104"/>
      <c r="J708" s="99"/>
      <c r="K708" s="106"/>
      <c r="L708" s="107">
        <f t="shared" si="77"/>
        <v>0</v>
      </c>
      <c r="M708" s="104"/>
      <c r="N708" s="101"/>
      <c r="O708" s="101">
        <v>1</v>
      </c>
      <c r="P708" s="104" t="e">
        <f>VLOOKUP($B708,ma!$A:$C,3,0)</f>
        <v>#N/A</v>
      </c>
      <c r="Q708" s="140">
        <v>860000</v>
      </c>
      <c r="R708" s="138">
        <v>7.5999999999999998E-2</v>
      </c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spans="1:27" ht="14">
      <c r="A709" s="97">
        <f t="shared" si="78"/>
        <v>162</v>
      </c>
      <c r="B709" s="98"/>
      <c r="C709" s="99"/>
      <c r="D709" s="100"/>
      <c r="E709" s="99" t="e">
        <f>VLOOKUP($C709,xe!$A:$B,2,0)</f>
        <v>#N/A</v>
      </c>
      <c r="F709" s="101" t="e">
        <f>VLOOKUP($B709,ma!$A:$B,2,0)</f>
        <v>#N/A</v>
      </c>
      <c r="G709" s="102"/>
      <c r="H709" s="103"/>
      <c r="I709" s="104"/>
      <c r="J709" s="99"/>
      <c r="K709" s="106"/>
      <c r="L709" s="107">
        <f t="shared" si="77"/>
        <v>0</v>
      </c>
      <c r="M709" s="104"/>
      <c r="N709" s="101"/>
      <c r="O709" s="101">
        <v>1</v>
      </c>
      <c r="P709" s="104" t="e">
        <f>VLOOKUP($B709,ma!$A:$C,3,0)</f>
        <v>#N/A</v>
      </c>
      <c r="Q709" s="140">
        <v>860000</v>
      </c>
      <c r="R709" s="138">
        <v>7.5999999999999998E-2</v>
      </c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spans="1:27" ht="14">
      <c r="A710" s="97">
        <f t="shared" si="78"/>
        <v>163</v>
      </c>
      <c r="B710" s="98"/>
      <c r="C710" s="99"/>
      <c r="D710" s="100"/>
      <c r="E710" s="99" t="e">
        <f>VLOOKUP($C710,xe!$A:$B,2,0)</f>
        <v>#N/A</v>
      </c>
      <c r="F710" s="101" t="e">
        <f>VLOOKUP($B710,ma!$A:$B,2,0)</f>
        <v>#N/A</v>
      </c>
      <c r="G710" s="102"/>
      <c r="H710" s="103"/>
      <c r="I710" s="104"/>
      <c r="J710" s="99"/>
      <c r="K710" s="106"/>
      <c r="L710" s="107">
        <f t="shared" si="77"/>
        <v>0</v>
      </c>
      <c r="M710" s="104"/>
      <c r="N710" s="101"/>
      <c r="O710" s="101">
        <v>1</v>
      </c>
      <c r="P710" s="104" t="e">
        <f>VLOOKUP($B710,ma!$A:$C,3,0)</f>
        <v>#N/A</v>
      </c>
      <c r="Q710" s="140">
        <v>860000</v>
      </c>
      <c r="R710" s="138">
        <v>7.5999999999999998E-2</v>
      </c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spans="1:27" ht="14">
      <c r="A711" s="97">
        <f t="shared" si="78"/>
        <v>164</v>
      </c>
      <c r="B711" s="98"/>
      <c r="C711" s="99"/>
      <c r="D711" s="100"/>
      <c r="E711" s="99" t="e">
        <f>VLOOKUP($C711,xe!$A:$B,2,0)</f>
        <v>#N/A</v>
      </c>
      <c r="F711" s="101" t="e">
        <f>VLOOKUP($B711,ma!$A:$B,2,0)</f>
        <v>#N/A</v>
      </c>
      <c r="G711" s="102"/>
      <c r="H711" s="103"/>
      <c r="I711" s="104"/>
      <c r="J711" s="99"/>
      <c r="K711" s="106"/>
      <c r="L711" s="107">
        <f t="shared" si="77"/>
        <v>0</v>
      </c>
      <c r="M711" s="104"/>
      <c r="N711" s="101"/>
      <c r="O711" s="101">
        <v>1</v>
      </c>
      <c r="P711" s="104" t="e">
        <f>VLOOKUP($B711,ma!$A:$C,3,0)</f>
        <v>#N/A</v>
      </c>
      <c r="Q711" s="140">
        <v>860000</v>
      </c>
      <c r="R711" s="138">
        <v>7.5999999999999998E-2</v>
      </c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spans="1:27" ht="14">
      <c r="A712" s="97">
        <f t="shared" si="78"/>
        <v>165</v>
      </c>
      <c r="B712" s="98"/>
      <c r="C712" s="99"/>
      <c r="D712" s="100"/>
      <c r="E712" s="99" t="e">
        <f>VLOOKUP($C712,xe!$A:$B,2,0)</f>
        <v>#N/A</v>
      </c>
      <c r="F712" s="101" t="e">
        <f>VLOOKUP($B712,ma!$A:$B,2,0)</f>
        <v>#N/A</v>
      </c>
      <c r="G712" s="102"/>
      <c r="H712" s="103"/>
      <c r="I712" s="104"/>
      <c r="J712" s="99"/>
      <c r="K712" s="106"/>
      <c r="L712" s="107">
        <f t="shared" si="77"/>
        <v>0</v>
      </c>
      <c r="M712" s="104"/>
      <c r="N712" s="101"/>
      <c r="O712" s="101">
        <v>1</v>
      </c>
      <c r="P712" s="104" t="e">
        <f>VLOOKUP($B712,ma!$A:$C,3,0)</f>
        <v>#N/A</v>
      </c>
      <c r="Q712" s="140">
        <v>860000</v>
      </c>
      <c r="R712" s="138">
        <v>7.5999999999999998E-2</v>
      </c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spans="1:27" ht="14">
      <c r="A713" s="97">
        <f t="shared" si="78"/>
        <v>166</v>
      </c>
      <c r="B713" s="98"/>
      <c r="C713" s="99"/>
      <c r="D713" s="100"/>
      <c r="E713" s="99" t="e">
        <f>VLOOKUP($C713,xe!$A:$B,2,0)</f>
        <v>#N/A</v>
      </c>
      <c r="F713" s="101" t="e">
        <f>VLOOKUP($B713,ma!$A:$B,2,0)</f>
        <v>#N/A</v>
      </c>
      <c r="G713" s="102"/>
      <c r="H713" s="103"/>
      <c r="I713" s="104"/>
      <c r="J713" s="99"/>
      <c r="K713" s="106"/>
      <c r="L713" s="107">
        <f t="shared" si="77"/>
        <v>0</v>
      </c>
      <c r="M713" s="104"/>
      <c r="N713" s="101"/>
      <c r="O713" s="101">
        <v>1</v>
      </c>
      <c r="P713" s="104" t="e">
        <f>VLOOKUP($B713,ma!$A:$C,3,0)</f>
        <v>#N/A</v>
      </c>
      <c r="Q713" s="140">
        <v>860000</v>
      </c>
      <c r="R713" s="138">
        <v>7.5999999999999998E-2</v>
      </c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spans="1:27" ht="14">
      <c r="A714" s="97">
        <f t="shared" si="78"/>
        <v>167</v>
      </c>
      <c r="B714" s="98"/>
      <c r="C714" s="99"/>
      <c r="D714" s="100"/>
      <c r="E714" s="99" t="e">
        <f>VLOOKUP($C714,xe!$A:$B,2,0)</f>
        <v>#N/A</v>
      </c>
      <c r="F714" s="101" t="e">
        <f>VLOOKUP($B714,ma!$A:$B,2,0)</f>
        <v>#N/A</v>
      </c>
      <c r="G714" s="102"/>
      <c r="H714" s="103"/>
      <c r="I714" s="104"/>
      <c r="J714" s="99"/>
      <c r="K714" s="106"/>
      <c r="L714" s="107">
        <f t="shared" si="77"/>
        <v>0</v>
      </c>
      <c r="M714" s="104"/>
      <c r="N714" s="101"/>
      <c r="O714" s="101">
        <v>1</v>
      </c>
      <c r="P714" s="104" t="e">
        <f>VLOOKUP($B714,ma!$A:$C,3,0)</f>
        <v>#N/A</v>
      </c>
      <c r="Q714" s="140">
        <v>860000</v>
      </c>
      <c r="R714" s="138">
        <v>7.5999999999999998E-2</v>
      </c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spans="1:27" ht="14">
      <c r="A715" s="97">
        <f t="shared" si="78"/>
        <v>168</v>
      </c>
      <c r="B715" s="98"/>
      <c r="C715" s="99"/>
      <c r="D715" s="100"/>
      <c r="E715" s="99" t="e">
        <f>VLOOKUP($C715,xe!$A:$B,2,0)</f>
        <v>#N/A</v>
      </c>
      <c r="F715" s="101" t="e">
        <f>VLOOKUP($B715,ma!$A:$B,2,0)</f>
        <v>#N/A</v>
      </c>
      <c r="G715" s="102"/>
      <c r="H715" s="103"/>
      <c r="I715" s="104"/>
      <c r="J715" s="99"/>
      <c r="K715" s="106"/>
      <c r="L715" s="107">
        <f t="shared" si="77"/>
        <v>0</v>
      </c>
      <c r="M715" s="104"/>
      <c r="N715" s="101"/>
      <c r="O715" s="101">
        <v>1</v>
      </c>
      <c r="P715" s="104" t="e">
        <f>VLOOKUP($B715,ma!$A:$C,3,0)</f>
        <v>#N/A</v>
      </c>
      <c r="Q715" s="140">
        <v>860000</v>
      </c>
      <c r="R715" s="138">
        <v>7.5999999999999998E-2</v>
      </c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spans="1:27" ht="14">
      <c r="A716" s="97">
        <f t="shared" si="78"/>
        <v>169</v>
      </c>
      <c r="B716" s="98"/>
      <c r="C716" s="99"/>
      <c r="D716" s="100"/>
      <c r="E716" s="99" t="e">
        <f>VLOOKUP($C716,xe!$A:$B,2,0)</f>
        <v>#N/A</v>
      </c>
      <c r="F716" s="101" t="e">
        <f>VLOOKUP($B716,ma!$A:$B,2,0)</f>
        <v>#N/A</v>
      </c>
      <c r="G716" s="102"/>
      <c r="H716" s="103"/>
      <c r="I716" s="104"/>
      <c r="J716" s="99"/>
      <c r="K716" s="106"/>
      <c r="L716" s="107">
        <f t="shared" si="77"/>
        <v>0</v>
      </c>
      <c r="M716" s="104"/>
      <c r="N716" s="101"/>
      <c r="O716" s="101">
        <v>1</v>
      </c>
      <c r="P716" s="104" t="e">
        <f>VLOOKUP($B716,ma!$A:$C,3,0)</f>
        <v>#N/A</v>
      </c>
      <c r="Q716" s="140">
        <v>860000</v>
      </c>
      <c r="R716" s="138">
        <v>7.5999999999999998E-2</v>
      </c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spans="1:27" ht="14">
      <c r="A717" s="97">
        <f t="shared" si="78"/>
        <v>170</v>
      </c>
      <c r="B717" s="98"/>
      <c r="C717" s="99"/>
      <c r="D717" s="100"/>
      <c r="E717" s="99" t="e">
        <f>VLOOKUP($C717,xe!$A:$B,2,0)</f>
        <v>#N/A</v>
      </c>
      <c r="F717" s="101" t="e">
        <f>VLOOKUP($B717,ma!$A:$B,2,0)</f>
        <v>#N/A</v>
      </c>
      <c r="G717" s="102"/>
      <c r="H717" s="103"/>
      <c r="I717" s="104"/>
      <c r="J717" s="99"/>
      <c r="K717" s="106"/>
      <c r="L717" s="107">
        <f t="shared" si="77"/>
        <v>0</v>
      </c>
      <c r="M717" s="104"/>
      <c r="N717" s="101"/>
      <c r="O717" s="101">
        <v>1</v>
      </c>
      <c r="P717" s="104" t="e">
        <f>VLOOKUP($B717,ma!$A:$C,3,0)</f>
        <v>#N/A</v>
      </c>
      <c r="Q717" s="140">
        <v>860000</v>
      </c>
      <c r="R717" s="138">
        <v>7.5999999999999998E-2</v>
      </c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spans="1:27" ht="14">
      <c r="A718" s="97">
        <f t="shared" si="78"/>
        <v>171</v>
      </c>
      <c r="B718" s="98"/>
      <c r="C718" s="99"/>
      <c r="D718" s="100"/>
      <c r="E718" s="99" t="e">
        <f>VLOOKUP($C718,xe!$A:$B,2,0)</f>
        <v>#N/A</v>
      </c>
      <c r="F718" s="101" t="e">
        <f>VLOOKUP($B718,ma!$A:$B,2,0)</f>
        <v>#N/A</v>
      </c>
      <c r="G718" s="102"/>
      <c r="H718" s="103"/>
      <c r="I718" s="104"/>
      <c r="J718" s="99"/>
      <c r="K718" s="106"/>
      <c r="L718" s="107">
        <f t="shared" si="77"/>
        <v>0</v>
      </c>
      <c r="M718" s="104"/>
      <c r="N718" s="101"/>
      <c r="O718" s="101">
        <v>1</v>
      </c>
      <c r="P718" s="104" t="e">
        <f>VLOOKUP($B718,ma!$A:$C,3,0)</f>
        <v>#N/A</v>
      </c>
      <c r="Q718" s="140">
        <v>860000</v>
      </c>
      <c r="R718" s="138">
        <v>7.5999999999999998E-2</v>
      </c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spans="1:27" ht="14">
      <c r="A719" s="97">
        <f t="shared" si="78"/>
        <v>172</v>
      </c>
      <c r="B719" s="98"/>
      <c r="C719" s="99"/>
      <c r="D719" s="100"/>
      <c r="E719" s="99" t="e">
        <f>VLOOKUP($C719,xe!$A:$B,2,0)</f>
        <v>#N/A</v>
      </c>
      <c r="F719" s="101" t="e">
        <f>VLOOKUP($B719,ma!$A:$B,2,0)</f>
        <v>#N/A</v>
      </c>
      <c r="G719" s="102"/>
      <c r="H719" s="103"/>
      <c r="I719" s="104"/>
      <c r="J719" s="99"/>
      <c r="K719" s="106"/>
      <c r="L719" s="107">
        <f t="shared" si="77"/>
        <v>0</v>
      </c>
      <c r="M719" s="104"/>
      <c r="N719" s="101"/>
      <c r="O719" s="101">
        <v>1</v>
      </c>
      <c r="P719" s="104" t="e">
        <f>VLOOKUP($B719,ma!$A:$C,3,0)</f>
        <v>#N/A</v>
      </c>
      <c r="Q719" s="140">
        <v>860000</v>
      </c>
      <c r="R719" s="138">
        <v>7.5999999999999998E-2</v>
      </c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spans="1:27" ht="14">
      <c r="A720" s="97">
        <f t="shared" si="78"/>
        <v>173</v>
      </c>
      <c r="B720" s="98"/>
      <c r="C720" s="99"/>
      <c r="D720" s="100"/>
      <c r="E720" s="99" t="e">
        <f>VLOOKUP($C720,xe!$A:$B,2,0)</f>
        <v>#N/A</v>
      </c>
      <c r="F720" s="101" t="e">
        <f>VLOOKUP($B720,ma!$A:$B,2,0)</f>
        <v>#N/A</v>
      </c>
      <c r="G720" s="102"/>
      <c r="H720" s="103"/>
      <c r="I720" s="104"/>
      <c r="J720" s="99"/>
      <c r="K720" s="106"/>
      <c r="L720" s="107">
        <f t="shared" si="77"/>
        <v>0</v>
      </c>
      <c r="M720" s="104"/>
      <c r="N720" s="101"/>
      <c r="O720" s="101">
        <v>1</v>
      </c>
      <c r="P720" s="104" t="e">
        <f>VLOOKUP($B720,ma!$A:$C,3,0)</f>
        <v>#N/A</v>
      </c>
      <c r="Q720" s="140">
        <v>860000</v>
      </c>
      <c r="R720" s="138">
        <v>7.5999999999999998E-2</v>
      </c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spans="1:27" ht="14">
      <c r="A721" s="97">
        <f t="shared" si="78"/>
        <v>174</v>
      </c>
      <c r="B721" s="98"/>
      <c r="C721" s="99"/>
      <c r="D721" s="100"/>
      <c r="E721" s="99" t="e">
        <f>VLOOKUP($C721,xe!$A:$B,2,0)</f>
        <v>#N/A</v>
      </c>
      <c r="F721" s="101" t="e">
        <f>VLOOKUP($B721,ma!$A:$B,2,0)</f>
        <v>#N/A</v>
      </c>
      <c r="G721" s="102"/>
      <c r="H721" s="103"/>
      <c r="I721" s="104"/>
      <c r="J721" s="99"/>
      <c r="K721" s="106"/>
      <c r="L721" s="107">
        <f t="shared" si="77"/>
        <v>0</v>
      </c>
      <c r="M721" s="104"/>
      <c r="N721" s="101"/>
      <c r="O721" s="101">
        <v>1</v>
      </c>
      <c r="P721" s="104" t="e">
        <f>VLOOKUP($B721,ma!$A:$C,3,0)</f>
        <v>#N/A</v>
      </c>
      <c r="Q721" s="140">
        <v>860000</v>
      </c>
      <c r="R721" s="138">
        <v>7.5999999999999998E-2</v>
      </c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spans="1:27" ht="14">
      <c r="A722" s="97">
        <f t="shared" si="78"/>
        <v>175</v>
      </c>
      <c r="B722" s="98"/>
      <c r="C722" s="99"/>
      <c r="D722" s="100"/>
      <c r="E722" s="99" t="e">
        <f>VLOOKUP($C722,xe!$A:$B,2,0)</f>
        <v>#N/A</v>
      </c>
      <c r="F722" s="101" t="e">
        <f>VLOOKUP($B722,ma!$A:$B,2,0)</f>
        <v>#N/A</v>
      </c>
      <c r="G722" s="102"/>
      <c r="H722" s="103"/>
      <c r="I722" s="104"/>
      <c r="J722" s="99"/>
      <c r="K722" s="106"/>
      <c r="L722" s="107">
        <f t="shared" si="77"/>
        <v>0</v>
      </c>
      <c r="M722" s="104"/>
      <c r="N722" s="101"/>
      <c r="O722" s="101">
        <v>1</v>
      </c>
      <c r="P722" s="104" t="e">
        <f>VLOOKUP($B722,ma!$A:$C,3,0)</f>
        <v>#N/A</v>
      </c>
      <c r="Q722" s="140">
        <v>860000</v>
      </c>
      <c r="R722" s="138">
        <v>7.5999999999999998E-2</v>
      </c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spans="1:27" ht="14">
      <c r="A723" s="97">
        <f t="shared" si="78"/>
        <v>176</v>
      </c>
      <c r="B723" s="98"/>
      <c r="C723" s="99"/>
      <c r="D723" s="100"/>
      <c r="E723" s="99" t="e">
        <f>VLOOKUP($C723,xe!$A:$B,2,0)</f>
        <v>#N/A</v>
      </c>
      <c r="F723" s="101" t="e">
        <f>VLOOKUP($B723,ma!$A:$B,2,0)</f>
        <v>#N/A</v>
      </c>
      <c r="G723" s="102"/>
      <c r="H723" s="103"/>
      <c r="I723" s="104"/>
      <c r="J723" s="99"/>
      <c r="K723" s="106"/>
      <c r="L723" s="107">
        <f t="shared" si="77"/>
        <v>0</v>
      </c>
      <c r="M723" s="104"/>
      <c r="N723" s="101"/>
      <c r="O723" s="101">
        <v>1</v>
      </c>
      <c r="P723" s="104" t="e">
        <f>VLOOKUP($B723,ma!$A:$C,3,0)</f>
        <v>#N/A</v>
      </c>
      <c r="Q723" s="140">
        <v>860000</v>
      </c>
      <c r="R723" s="138">
        <v>7.5999999999999998E-2</v>
      </c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spans="1:27" ht="14">
      <c r="A724" s="97">
        <f t="shared" si="78"/>
        <v>177</v>
      </c>
      <c r="B724" s="98"/>
      <c r="C724" s="99"/>
      <c r="D724" s="100"/>
      <c r="E724" s="99" t="e">
        <f>VLOOKUP($C724,xe!$A:$B,2,0)</f>
        <v>#N/A</v>
      </c>
      <c r="F724" s="101" t="e">
        <f>VLOOKUP($B724,ma!$A:$B,2,0)</f>
        <v>#N/A</v>
      </c>
      <c r="G724" s="102"/>
      <c r="H724" s="103"/>
      <c r="I724" s="104"/>
      <c r="J724" s="99"/>
      <c r="K724" s="106"/>
      <c r="L724" s="107">
        <f t="shared" si="77"/>
        <v>0</v>
      </c>
      <c r="M724" s="104"/>
      <c r="N724" s="101"/>
      <c r="O724" s="101">
        <v>1</v>
      </c>
      <c r="P724" s="104" t="e">
        <f>VLOOKUP($B724,ma!$A:$C,3,0)</f>
        <v>#N/A</v>
      </c>
      <c r="Q724" s="140">
        <v>860000</v>
      </c>
      <c r="R724" s="138">
        <v>7.5999999999999998E-2</v>
      </c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spans="1:27" ht="14">
      <c r="A725" s="97">
        <f t="shared" si="78"/>
        <v>178</v>
      </c>
      <c r="B725" s="98"/>
      <c r="C725" s="99"/>
      <c r="D725" s="100"/>
      <c r="E725" s="99" t="e">
        <f>VLOOKUP($C725,xe!$A:$B,2,0)</f>
        <v>#N/A</v>
      </c>
      <c r="F725" s="101" t="e">
        <f>VLOOKUP($B725,ma!$A:$B,2,0)</f>
        <v>#N/A</v>
      </c>
      <c r="G725" s="102"/>
      <c r="H725" s="103"/>
      <c r="I725" s="104"/>
      <c r="J725" s="99"/>
      <c r="K725" s="106"/>
      <c r="L725" s="107">
        <f t="shared" si="77"/>
        <v>0</v>
      </c>
      <c r="M725" s="104"/>
      <c r="N725" s="101"/>
      <c r="O725" s="101">
        <v>1</v>
      </c>
      <c r="P725" s="104" t="e">
        <f>VLOOKUP($B725,ma!$A:$C,3,0)</f>
        <v>#N/A</v>
      </c>
      <c r="Q725" s="140">
        <v>860000</v>
      </c>
      <c r="R725" s="138">
        <v>7.5999999999999998E-2</v>
      </c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spans="1:27" ht="14">
      <c r="A726" s="97">
        <f t="shared" si="78"/>
        <v>179</v>
      </c>
      <c r="B726" s="98"/>
      <c r="C726" s="99"/>
      <c r="D726" s="100"/>
      <c r="E726" s="99" t="e">
        <f>VLOOKUP($C726,xe!$A:$B,2,0)</f>
        <v>#N/A</v>
      </c>
      <c r="F726" s="101" t="e">
        <f>VLOOKUP($B726,ma!$A:$B,2,0)</f>
        <v>#N/A</v>
      </c>
      <c r="G726" s="102"/>
      <c r="H726" s="103"/>
      <c r="I726" s="104"/>
      <c r="J726" s="99"/>
      <c r="K726" s="106"/>
      <c r="L726" s="107">
        <f t="shared" si="77"/>
        <v>0</v>
      </c>
      <c r="M726" s="104"/>
      <c r="N726" s="101"/>
      <c r="O726" s="101">
        <v>1</v>
      </c>
      <c r="P726" s="104" t="e">
        <f>VLOOKUP($B726,ma!$A:$C,3,0)</f>
        <v>#N/A</v>
      </c>
      <c r="Q726" s="140">
        <v>860000</v>
      </c>
      <c r="R726" s="138">
        <v>7.5999999999999998E-2</v>
      </c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spans="1:27" ht="14">
      <c r="A727" s="97">
        <f t="shared" si="78"/>
        <v>180</v>
      </c>
      <c r="B727" s="98"/>
      <c r="C727" s="99"/>
      <c r="D727" s="100"/>
      <c r="E727" s="99" t="e">
        <f>VLOOKUP($C727,xe!$A:$B,2,0)</f>
        <v>#N/A</v>
      </c>
      <c r="F727" s="101" t="e">
        <f>VLOOKUP($B727,ma!$A:$B,2,0)</f>
        <v>#N/A</v>
      </c>
      <c r="G727" s="102"/>
      <c r="H727" s="103"/>
      <c r="I727" s="104"/>
      <c r="J727" s="99"/>
      <c r="K727" s="106"/>
      <c r="L727" s="107">
        <f t="shared" si="77"/>
        <v>0</v>
      </c>
      <c r="M727" s="104"/>
      <c r="N727" s="101"/>
      <c r="O727" s="101">
        <v>1</v>
      </c>
      <c r="P727" s="104" t="e">
        <f>VLOOKUP($B727,ma!$A:$C,3,0)</f>
        <v>#N/A</v>
      </c>
      <c r="Q727" s="140">
        <v>860000</v>
      </c>
      <c r="R727" s="138">
        <v>7.5999999999999998E-2</v>
      </c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spans="1:27" ht="14">
      <c r="A728" s="97">
        <f t="shared" si="78"/>
        <v>181</v>
      </c>
      <c r="B728" s="98"/>
      <c r="C728" s="99"/>
      <c r="D728" s="100"/>
      <c r="E728" s="99" t="e">
        <f>VLOOKUP($C728,xe!$A:$B,2,0)</f>
        <v>#N/A</v>
      </c>
      <c r="F728" s="101" t="e">
        <f>VLOOKUP($B728,ma!$A:$B,2,0)</f>
        <v>#N/A</v>
      </c>
      <c r="G728" s="102"/>
      <c r="H728" s="103"/>
      <c r="I728" s="104"/>
      <c r="J728" s="99"/>
      <c r="K728" s="106"/>
      <c r="L728" s="107">
        <f t="shared" si="77"/>
        <v>0</v>
      </c>
      <c r="M728" s="104"/>
      <c r="N728" s="101"/>
      <c r="O728" s="101">
        <v>1</v>
      </c>
      <c r="P728" s="104" t="e">
        <f>VLOOKUP($B728,ma!$A:$C,3,0)</f>
        <v>#N/A</v>
      </c>
      <c r="Q728" s="140">
        <v>860000</v>
      </c>
      <c r="R728" s="138">
        <v>7.5999999999999998E-2</v>
      </c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spans="1:27" ht="14">
      <c r="A729" s="97">
        <f t="shared" si="78"/>
        <v>182</v>
      </c>
      <c r="B729" s="98"/>
      <c r="C729" s="99"/>
      <c r="D729" s="100"/>
      <c r="E729" s="99" t="e">
        <f>VLOOKUP($C729,xe!$A:$B,2,0)</f>
        <v>#N/A</v>
      </c>
      <c r="F729" s="101" t="e">
        <f>VLOOKUP($B729,ma!$A:$B,2,0)</f>
        <v>#N/A</v>
      </c>
      <c r="G729" s="102"/>
      <c r="H729" s="103"/>
      <c r="I729" s="104"/>
      <c r="J729" s="99"/>
      <c r="K729" s="106"/>
      <c r="L729" s="107">
        <f t="shared" si="77"/>
        <v>0</v>
      </c>
      <c r="M729" s="104"/>
      <c r="N729" s="101"/>
      <c r="O729" s="101">
        <v>1</v>
      </c>
      <c r="P729" s="104" t="e">
        <f>VLOOKUP($B729,ma!$A:$C,3,0)</f>
        <v>#N/A</v>
      </c>
      <c r="Q729" s="140">
        <v>860000</v>
      </c>
      <c r="R729" s="138">
        <v>7.5999999999999998E-2</v>
      </c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spans="1:27" ht="14">
      <c r="A730" s="97">
        <f t="shared" si="78"/>
        <v>183</v>
      </c>
      <c r="B730" s="98"/>
      <c r="C730" s="99"/>
      <c r="D730" s="100"/>
      <c r="E730" s="99" t="e">
        <f>VLOOKUP($C730,xe!$A:$B,2,0)</f>
        <v>#N/A</v>
      </c>
      <c r="F730" s="101" t="e">
        <f>VLOOKUP($B730,ma!$A:$B,2,0)</f>
        <v>#N/A</v>
      </c>
      <c r="G730" s="102"/>
      <c r="H730" s="103"/>
      <c r="I730" s="104"/>
      <c r="J730" s="99"/>
      <c r="K730" s="106"/>
      <c r="L730" s="107">
        <f t="shared" si="77"/>
        <v>0</v>
      </c>
      <c r="M730" s="104"/>
      <c r="N730" s="101"/>
      <c r="O730" s="101">
        <v>1</v>
      </c>
      <c r="P730" s="104" t="e">
        <f>VLOOKUP($B730,ma!$A:$C,3,0)</f>
        <v>#N/A</v>
      </c>
      <c r="Q730" s="140">
        <v>860000</v>
      </c>
      <c r="R730" s="138">
        <v>7.5999999999999998E-2</v>
      </c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spans="1:27" ht="14">
      <c r="A731" s="97">
        <f t="shared" si="78"/>
        <v>184</v>
      </c>
      <c r="B731" s="98"/>
      <c r="C731" s="99"/>
      <c r="D731" s="100"/>
      <c r="E731" s="99" t="e">
        <f>VLOOKUP($C731,xe!$A:$B,2,0)</f>
        <v>#N/A</v>
      </c>
      <c r="F731" s="101" t="e">
        <f>VLOOKUP($B731,ma!$A:$B,2,0)</f>
        <v>#N/A</v>
      </c>
      <c r="G731" s="102"/>
      <c r="H731" s="103"/>
      <c r="I731" s="104"/>
      <c r="J731" s="99"/>
      <c r="K731" s="106"/>
      <c r="L731" s="107">
        <f t="shared" si="77"/>
        <v>0</v>
      </c>
      <c r="M731" s="104"/>
      <c r="N731" s="101"/>
      <c r="O731" s="101">
        <v>1</v>
      </c>
      <c r="P731" s="104" t="e">
        <f>VLOOKUP($B731,ma!$A:$C,3,0)</f>
        <v>#N/A</v>
      </c>
      <c r="Q731" s="140">
        <v>860000</v>
      </c>
      <c r="R731" s="138">
        <v>7.5999999999999998E-2</v>
      </c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spans="1:27" ht="14">
      <c r="A732" s="97">
        <f t="shared" si="78"/>
        <v>185</v>
      </c>
      <c r="B732" s="98"/>
      <c r="C732" s="99"/>
      <c r="D732" s="100"/>
      <c r="E732" s="99" t="e">
        <f>VLOOKUP($C732,xe!$A:$B,2,0)</f>
        <v>#N/A</v>
      </c>
      <c r="F732" s="101" t="e">
        <f>VLOOKUP($B732,ma!$A:$B,2,0)</f>
        <v>#N/A</v>
      </c>
      <c r="G732" s="102"/>
      <c r="H732" s="103"/>
      <c r="I732" s="104"/>
      <c r="J732" s="99"/>
      <c r="K732" s="106"/>
      <c r="L732" s="107">
        <f t="shared" si="77"/>
        <v>0</v>
      </c>
      <c r="M732" s="104"/>
      <c r="N732" s="101"/>
      <c r="O732" s="101">
        <v>1</v>
      </c>
      <c r="P732" s="104" t="e">
        <f>VLOOKUP($B732,ma!$A:$C,3,0)</f>
        <v>#N/A</v>
      </c>
      <c r="Q732" s="140">
        <v>860000</v>
      </c>
      <c r="R732" s="138">
        <v>7.5999999999999998E-2</v>
      </c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spans="1:27" ht="14">
      <c r="A733" s="97">
        <f t="shared" si="78"/>
        <v>186</v>
      </c>
      <c r="B733" s="98"/>
      <c r="C733" s="99"/>
      <c r="D733" s="100"/>
      <c r="E733" s="99" t="e">
        <f>VLOOKUP($C733,xe!$A:$B,2,0)</f>
        <v>#N/A</v>
      </c>
      <c r="F733" s="101" t="e">
        <f>VLOOKUP($B733,ma!$A:$B,2,0)</f>
        <v>#N/A</v>
      </c>
      <c r="G733" s="102"/>
      <c r="H733" s="103"/>
      <c r="I733" s="104"/>
      <c r="J733" s="99"/>
      <c r="K733" s="106"/>
      <c r="L733" s="107">
        <f t="shared" si="77"/>
        <v>0</v>
      </c>
      <c r="M733" s="104"/>
      <c r="N733" s="101"/>
      <c r="O733" s="101">
        <v>1</v>
      </c>
      <c r="P733" s="104" t="e">
        <f>VLOOKUP($B733,ma!$A:$C,3,0)</f>
        <v>#N/A</v>
      </c>
      <c r="Q733" s="140">
        <v>860000</v>
      </c>
      <c r="R733" s="138">
        <v>7.5999999999999998E-2</v>
      </c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spans="1:27" ht="14">
      <c r="A734" s="97">
        <f t="shared" si="78"/>
        <v>187</v>
      </c>
      <c r="B734" s="98"/>
      <c r="C734" s="99"/>
      <c r="D734" s="100"/>
      <c r="E734" s="99" t="e">
        <f>VLOOKUP($C734,xe!$A:$B,2,0)</f>
        <v>#N/A</v>
      </c>
      <c r="F734" s="101" t="e">
        <f>VLOOKUP($B734,ma!$A:$B,2,0)</f>
        <v>#N/A</v>
      </c>
      <c r="G734" s="102"/>
      <c r="H734" s="103"/>
      <c r="I734" s="104"/>
      <c r="J734" s="99"/>
      <c r="K734" s="106"/>
      <c r="L734" s="107">
        <f t="shared" si="77"/>
        <v>0</v>
      </c>
      <c r="M734" s="104"/>
      <c r="N734" s="101"/>
      <c r="O734" s="101">
        <v>1</v>
      </c>
      <c r="P734" s="104" t="e">
        <f>VLOOKUP($B734,ma!$A:$C,3,0)</f>
        <v>#N/A</v>
      </c>
      <c r="Q734" s="140">
        <v>860000</v>
      </c>
      <c r="R734" s="138">
        <v>7.5999999999999998E-2</v>
      </c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spans="1:27" ht="14">
      <c r="A735" s="97">
        <f t="shared" si="78"/>
        <v>188</v>
      </c>
      <c r="B735" s="98"/>
      <c r="C735" s="99"/>
      <c r="D735" s="100"/>
      <c r="E735" s="99" t="e">
        <f>VLOOKUP($C735,xe!$A:$B,2,0)</f>
        <v>#N/A</v>
      </c>
      <c r="F735" s="101" t="e">
        <f>VLOOKUP($B735,ma!$A:$B,2,0)</f>
        <v>#N/A</v>
      </c>
      <c r="G735" s="102"/>
      <c r="H735" s="103"/>
      <c r="I735" s="104"/>
      <c r="J735" s="99"/>
      <c r="K735" s="106"/>
      <c r="L735" s="107">
        <f t="shared" si="77"/>
        <v>0</v>
      </c>
      <c r="M735" s="104"/>
      <c r="N735" s="101"/>
      <c r="O735" s="101">
        <v>1</v>
      </c>
      <c r="P735" s="104" t="e">
        <f>VLOOKUP($B735,ma!$A:$C,3,0)</f>
        <v>#N/A</v>
      </c>
      <c r="Q735" s="140">
        <v>860000</v>
      </c>
      <c r="R735" s="138">
        <v>7.5999999999999998E-2</v>
      </c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spans="1:27" ht="14">
      <c r="A736" s="97">
        <f t="shared" si="78"/>
        <v>189</v>
      </c>
      <c r="B736" s="98"/>
      <c r="C736" s="99"/>
      <c r="D736" s="100"/>
      <c r="E736" s="99" t="e">
        <f>VLOOKUP($C736,xe!$A:$B,2,0)</f>
        <v>#N/A</v>
      </c>
      <c r="F736" s="101" t="e">
        <f>VLOOKUP($B736,ma!$A:$B,2,0)</f>
        <v>#N/A</v>
      </c>
      <c r="G736" s="102"/>
      <c r="H736" s="103"/>
      <c r="I736" s="104"/>
      <c r="J736" s="99"/>
      <c r="K736" s="106"/>
      <c r="L736" s="107">
        <f t="shared" si="77"/>
        <v>0</v>
      </c>
      <c r="M736" s="104"/>
      <c r="N736" s="101"/>
      <c r="O736" s="101">
        <v>1</v>
      </c>
      <c r="P736" s="104" t="e">
        <f>VLOOKUP($B736,ma!$A:$C,3,0)</f>
        <v>#N/A</v>
      </c>
      <c r="Q736" s="140">
        <v>860000</v>
      </c>
      <c r="R736" s="138">
        <v>7.5999999999999998E-2</v>
      </c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spans="1:27" ht="14">
      <c r="A737" s="97">
        <f t="shared" si="78"/>
        <v>190</v>
      </c>
      <c r="B737" s="98"/>
      <c r="C737" s="99"/>
      <c r="D737" s="100"/>
      <c r="E737" s="99" t="e">
        <f>VLOOKUP($C737,xe!$A:$B,2,0)</f>
        <v>#N/A</v>
      </c>
      <c r="F737" s="101" t="e">
        <f>VLOOKUP($B737,ma!$A:$B,2,0)</f>
        <v>#N/A</v>
      </c>
      <c r="G737" s="102"/>
      <c r="H737" s="103"/>
      <c r="I737" s="104"/>
      <c r="J737" s="99"/>
      <c r="K737" s="106"/>
      <c r="L737" s="107">
        <f t="shared" si="77"/>
        <v>0</v>
      </c>
      <c r="M737" s="104"/>
      <c r="N737" s="101"/>
      <c r="O737" s="101">
        <v>1</v>
      </c>
      <c r="P737" s="104" t="e">
        <f>VLOOKUP($B737,ma!$A:$C,3,0)</f>
        <v>#N/A</v>
      </c>
      <c r="Q737" s="140">
        <v>860000</v>
      </c>
      <c r="R737" s="138">
        <v>7.5999999999999998E-2</v>
      </c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spans="1:27" ht="14">
      <c r="A738" s="97">
        <f t="shared" si="78"/>
        <v>191</v>
      </c>
      <c r="B738" s="98"/>
      <c r="C738" s="99"/>
      <c r="D738" s="100"/>
      <c r="E738" s="99" t="e">
        <f>VLOOKUP($C738,xe!$A:$B,2,0)</f>
        <v>#N/A</v>
      </c>
      <c r="F738" s="101" t="e">
        <f>VLOOKUP($B738,ma!$A:$B,2,0)</f>
        <v>#N/A</v>
      </c>
      <c r="G738" s="102"/>
      <c r="H738" s="103"/>
      <c r="I738" s="104"/>
      <c r="J738" s="99"/>
      <c r="K738" s="106"/>
      <c r="L738" s="107">
        <f t="shared" si="77"/>
        <v>0</v>
      </c>
      <c r="M738" s="104"/>
      <c r="N738" s="101"/>
      <c r="O738" s="101">
        <v>1</v>
      </c>
      <c r="P738" s="104" t="e">
        <f>VLOOKUP($B738,ma!$A:$C,3,0)</f>
        <v>#N/A</v>
      </c>
      <c r="Q738" s="140">
        <v>860000</v>
      </c>
      <c r="R738" s="138">
        <v>7.5999999999999998E-2</v>
      </c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spans="1:27" ht="14">
      <c r="A739" s="97">
        <f t="shared" si="78"/>
        <v>192</v>
      </c>
      <c r="B739" s="98"/>
      <c r="C739" s="99"/>
      <c r="D739" s="100"/>
      <c r="E739" s="99" t="e">
        <f>VLOOKUP($C739,xe!$A:$B,2,0)</f>
        <v>#N/A</v>
      </c>
      <c r="F739" s="101" t="e">
        <f>VLOOKUP($B739,ma!$A:$B,2,0)</f>
        <v>#N/A</v>
      </c>
      <c r="G739" s="102"/>
      <c r="H739" s="103"/>
      <c r="I739" s="104"/>
      <c r="J739" s="99"/>
      <c r="K739" s="106"/>
      <c r="L739" s="107">
        <f t="shared" si="77"/>
        <v>0</v>
      </c>
      <c r="M739" s="104"/>
      <c r="N739" s="101"/>
      <c r="O739" s="101">
        <v>1</v>
      </c>
      <c r="P739" s="104" t="e">
        <f>VLOOKUP($B739,ma!$A:$C,3,0)</f>
        <v>#N/A</v>
      </c>
      <c r="Q739" s="140">
        <v>860000</v>
      </c>
      <c r="R739" s="138">
        <v>7.5999999999999998E-2</v>
      </c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spans="1:27" ht="14">
      <c r="A740" s="97">
        <f t="shared" si="78"/>
        <v>193</v>
      </c>
      <c r="B740" s="98"/>
      <c r="C740" s="99"/>
      <c r="D740" s="100"/>
      <c r="E740" s="99" t="e">
        <f>VLOOKUP($C740,xe!$A:$B,2,0)</f>
        <v>#N/A</v>
      </c>
      <c r="F740" s="101" t="e">
        <f>VLOOKUP($B740,ma!$A:$B,2,0)</f>
        <v>#N/A</v>
      </c>
      <c r="G740" s="102"/>
      <c r="H740" s="103"/>
      <c r="I740" s="104"/>
      <c r="J740" s="99"/>
      <c r="K740" s="106"/>
      <c r="L740" s="107">
        <f t="shared" si="77"/>
        <v>0</v>
      </c>
      <c r="M740" s="104"/>
      <c r="N740" s="101"/>
      <c r="O740" s="101">
        <v>1</v>
      </c>
      <c r="P740" s="104" t="e">
        <f>VLOOKUP($B740,ma!$A:$C,3,0)</f>
        <v>#N/A</v>
      </c>
      <c r="Q740" s="140">
        <v>860000</v>
      </c>
      <c r="R740" s="138">
        <v>7.5999999999999998E-2</v>
      </c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spans="1:27" ht="14">
      <c r="A741" s="97">
        <f t="shared" si="78"/>
        <v>194</v>
      </c>
      <c r="B741" s="98"/>
      <c r="C741" s="99"/>
      <c r="D741" s="100"/>
      <c r="E741" s="99" t="e">
        <f>VLOOKUP($C741,xe!$A:$B,2,0)</f>
        <v>#N/A</v>
      </c>
      <c r="F741" s="101" t="e">
        <f>VLOOKUP($B741,ma!$A:$B,2,0)</f>
        <v>#N/A</v>
      </c>
      <c r="G741" s="102"/>
      <c r="H741" s="103"/>
      <c r="I741" s="104"/>
      <c r="J741" s="99"/>
      <c r="K741" s="106"/>
      <c r="L741" s="107">
        <f t="shared" si="77"/>
        <v>0</v>
      </c>
      <c r="M741" s="104"/>
      <c r="N741" s="101"/>
      <c r="O741" s="101">
        <v>1</v>
      </c>
      <c r="P741" s="104" t="e">
        <f>VLOOKUP($B741,ma!$A:$C,3,0)</f>
        <v>#N/A</v>
      </c>
      <c r="Q741" s="140">
        <v>860000</v>
      </c>
      <c r="R741" s="138">
        <v>7.5999999999999998E-2</v>
      </c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spans="1:27" ht="14">
      <c r="A742" s="97">
        <f t="shared" si="78"/>
        <v>195</v>
      </c>
      <c r="B742" s="98"/>
      <c r="C742" s="99"/>
      <c r="D742" s="100"/>
      <c r="E742" s="99" t="e">
        <f>VLOOKUP($C742,xe!$A:$B,2,0)</f>
        <v>#N/A</v>
      </c>
      <c r="F742" s="101" t="e">
        <f>VLOOKUP($B742,ma!$A:$B,2,0)</f>
        <v>#N/A</v>
      </c>
      <c r="G742" s="102"/>
      <c r="H742" s="103"/>
      <c r="I742" s="104"/>
      <c r="J742" s="99"/>
      <c r="K742" s="106"/>
      <c r="L742" s="107">
        <f t="shared" si="77"/>
        <v>0</v>
      </c>
      <c r="M742" s="104"/>
      <c r="N742" s="101"/>
      <c r="O742" s="101">
        <v>1</v>
      </c>
      <c r="P742" s="104" t="e">
        <f>VLOOKUP($B742,ma!$A:$C,3,0)</f>
        <v>#N/A</v>
      </c>
      <c r="Q742" s="140">
        <v>860000</v>
      </c>
      <c r="R742" s="138">
        <v>7.5999999999999998E-2</v>
      </c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spans="1:27" ht="14">
      <c r="A743" s="97">
        <f t="shared" si="78"/>
        <v>196</v>
      </c>
      <c r="B743" s="98"/>
      <c r="C743" s="99"/>
      <c r="D743" s="100"/>
      <c r="E743" s="99" t="e">
        <f>VLOOKUP($C743,xe!$A:$B,2,0)</f>
        <v>#N/A</v>
      </c>
      <c r="F743" s="101" t="e">
        <f>VLOOKUP($B743,ma!$A:$B,2,0)</f>
        <v>#N/A</v>
      </c>
      <c r="G743" s="102"/>
      <c r="H743" s="103"/>
      <c r="I743" s="104"/>
      <c r="J743" s="99"/>
      <c r="K743" s="106"/>
      <c r="L743" s="107">
        <f t="shared" si="77"/>
        <v>0</v>
      </c>
      <c r="M743" s="104"/>
      <c r="N743" s="101"/>
      <c r="O743" s="101">
        <v>1</v>
      </c>
      <c r="P743" s="104" t="e">
        <f>VLOOKUP($B743,ma!$A:$C,3,0)</f>
        <v>#N/A</v>
      </c>
      <c r="Q743" s="140">
        <v>860000</v>
      </c>
      <c r="R743" s="138">
        <v>7.5999999999999998E-2</v>
      </c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spans="1:27" ht="14">
      <c r="A744" s="97">
        <f t="shared" si="78"/>
        <v>197</v>
      </c>
      <c r="B744" s="98"/>
      <c r="C744" s="99"/>
      <c r="D744" s="100"/>
      <c r="E744" s="99" t="e">
        <f>VLOOKUP($C744,xe!$A:$B,2,0)</f>
        <v>#N/A</v>
      </c>
      <c r="F744" s="101" t="e">
        <f>VLOOKUP($B744,ma!$A:$B,2,0)</f>
        <v>#N/A</v>
      </c>
      <c r="G744" s="102"/>
      <c r="H744" s="103"/>
      <c r="I744" s="104"/>
      <c r="J744" s="99"/>
      <c r="K744" s="106"/>
      <c r="L744" s="107">
        <f t="shared" si="77"/>
        <v>0</v>
      </c>
      <c r="M744" s="104"/>
      <c r="N744" s="101"/>
      <c r="O744" s="101">
        <v>1</v>
      </c>
      <c r="P744" s="104" t="e">
        <f>VLOOKUP($B744,ma!$A:$C,3,0)</f>
        <v>#N/A</v>
      </c>
      <c r="Q744" s="140">
        <v>860000</v>
      </c>
      <c r="R744" s="138">
        <v>7.5999999999999998E-2</v>
      </c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spans="1:27" ht="14">
      <c r="A745" s="97">
        <f t="shared" si="78"/>
        <v>198</v>
      </c>
      <c r="B745" s="98"/>
      <c r="C745" s="99"/>
      <c r="D745" s="100"/>
      <c r="E745" s="99" t="e">
        <f>VLOOKUP($C745,xe!$A:$B,2,0)</f>
        <v>#N/A</v>
      </c>
      <c r="F745" s="101" t="e">
        <f>VLOOKUP($B745,ma!$A:$B,2,0)</f>
        <v>#N/A</v>
      </c>
      <c r="G745" s="102"/>
      <c r="H745" s="103"/>
      <c r="I745" s="104"/>
      <c r="J745" s="99"/>
      <c r="K745" s="106"/>
      <c r="L745" s="107">
        <f t="shared" si="77"/>
        <v>0</v>
      </c>
      <c r="M745" s="104"/>
      <c r="N745" s="101"/>
      <c r="O745" s="101">
        <v>1</v>
      </c>
      <c r="P745" s="104" t="e">
        <f>VLOOKUP($B745,ma!$A:$C,3,0)</f>
        <v>#N/A</v>
      </c>
      <c r="Q745" s="140">
        <v>860000</v>
      </c>
      <c r="R745" s="138">
        <v>7.5999999999999998E-2</v>
      </c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spans="1:27" ht="14">
      <c r="A746" s="97">
        <f t="shared" si="78"/>
        <v>199</v>
      </c>
      <c r="B746" s="98"/>
      <c r="C746" s="99"/>
      <c r="D746" s="100"/>
      <c r="E746" s="99" t="e">
        <f>VLOOKUP($C746,xe!$A:$B,2,0)</f>
        <v>#N/A</v>
      </c>
      <c r="F746" s="101" t="e">
        <f>VLOOKUP($B746,ma!$A:$B,2,0)</f>
        <v>#N/A</v>
      </c>
      <c r="G746" s="102"/>
      <c r="H746" s="103"/>
      <c r="I746" s="104"/>
      <c r="J746" s="99"/>
      <c r="K746" s="106"/>
      <c r="L746" s="107">
        <f t="shared" si="77"/>
        <v>0</v>
      </c>
      <c r="M746" s="104"/>
      <c r="N746" s="101"/>
      <c r="O746" s="101">
        <v>1</v>
      </c>
      <c r="P746" s="104" t="e">
        <f>VLOOKUP($B746,ma!$A:$C,3,0)</f>
        <v>#N/A</v>
      </c>
      <c r="Q746" s="140">
        <v>860000</v>
      </c>
      <c r="R746" s="138">
        <v>7.5999999999999998E-2</v>
      </c>
      <c r="S746" s="111"/>
      <c r="T746" s="111"/>
      <c r="U746" s="111"/>
      <c r="V746" s="111"/>
      <c r="W746" s="111"/>
      <c r="X746" s="111"/>
      <c r="Y746" s="111"/>
      <c r="Z746" s="111"/>
      <c r="AA746" s="111"/>
    </row>
    <row r="747" spans="1:27" ht="14">
      <c r="A747" s="97">
        <f t="shared" si="78"/>
        <v>200</v>
      </c>
      <c r="B747" s="98"/>
      <c r="C747" s="99"/>
      <c r="D747" s="100"/>
      <c r="E747" s="99" t="e">
        <f>VLOOKUP($C747,xe!$A:$B,2,0)</f>
        <v>#N/A</v>
      </c>
      <c r="F747" s="101" t="e">
        <f>VLOOKUP($B747,ma!$A:$B,2,0)</f>
        <v>#N/A</v>
      </c>
      <c r="G747" s="102"/>
      <c r="H747" s="103"/>
      <c r="I747" s="104"/>
      <c r="J747" s="99"/>
      <c r="K747" s="106"/>
      <c r="L747" s="107">
        <f t="shared" si="77"/>
        <v>0</v>
      </c>
      <c r="M747" s="104"/>
      <c r="N747" s="101"/>
      <c r="O747" s="101">
        <v>1</v>
      </c>
      <c r="P747" s="104" t="e">
        <f>VLOOKUP($B747,ma!$A:$C,3,0)</f>
        <v>#N/A</v>
      </c>
      <c r="Q747" s="140">
        <v>860000</v>
      </c>
      <c r="R747" s="138">
        <v>7.5999999999999998E-2</v>
      </c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spans="1:27" ht="14">
      <c r="A748" s="97">
        <f t="shared" si="78"/>
        <v>201</v>
      </c>
      <c r="B748" s="98"/>
      <c r="C748" s="99"/>
      <c r="D748" s="100"/>
      <c r="E748" s="99" t="e">
        <f>VLOOKUP($C748,xe!$A:$B,2,0)</f>
        <v>#N/A</v>
      </c>
      <c r="F748" s="101" t="e">
        <f>VLOOKUP($B748,ma!$A:$B,2,0)</f>
        <v>#N/A</v>
      </c>
      <c r="G748" s="102"/>
      <c r="H748" s="103"/>
      <c r="I748" s="104"/>
      <c r="J748" s="99"/>
      <c r="K748" s="106"/>
      <c r="L748" s="107">
        <f t="shared" si="77"/>
        <v>0</v>
      </c>
      <c r="M748" s="104"/>
      <c r="N748" s="101"/>
      <c r="O748" s="101">
        <v>1</v>
      </c>
      <c r="P748" s="104" t="e">
        <f>VLOOKUP($B748,ma!$A:$C,3,0)</f>
        <v>#N/A</v>
      </c>
      <c r="Q748" s="140">
        <v>860000</v>
      </c>
      <c r="R748" s="138">
        <v>7.5999999999999998E-2</v>
      </c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spans="1:27" ht="14">
      <c r="A749" s="97">
        <f t="shared" si="78"/>
        <v>202</v>
      </c>
      <c r="B749" s="98"/>
      <c r="C749" s="99"/>
      <c r="D749" s="100"/>
      <c r="E749" s="99" t="e">
        <f>VLOOKUP($C749,xe!$A:$B,2,0)</f>
        <v>#N/A</v>
      </c>
      <c r="F749" s="101" t="e">
        <f>VLOOKUP($B749,ma!$A:$B,2,0)</f>
        <v>#N/A</v>
      </c>
      <c r="G749" s="102"/>
      <c r="H749" s="103"/>
      <c r="I749" s="104"/>
      <c r="J749" s="99"/>
      <c r="K749" s="106"/>
      <c r="L749" s="107">
        <f t="shared" si="77"/>
        <v>0</v>
      </c>
      <c r="M749" s="104"/>
      <c r="N749" s="101"/>
      <c r="O749" s="101">
        <v>1</v>
      </c>
      <c r="P749" s="104" t="e">
        <f>VLOOKUP($B749,ma!$A:$C,3,0)</f>
        <v>#N/A</v>
      </c>
      <c r="Q749" s="140">
        <v>860000</v>
      </c>
      <c r="R749" s="138">
        <v>7.5999999999999998E-2</v>
      </c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spans="1:27" ht="14">
      <c r="A750" s="97">
        <f t="shared" si="78"/>
        <v>203</v>
      </c>
      <c r="B750" s="98"/>
      <c r="C750" s="99"/>
      <c r="D750" s="100"/>
      <c r="E750" s="99" t="e">
        <f>VLOOKUP($C750,xe!$A:$B,2,0)</f>
        <v>#N/A</v>
      </c>
      <c r="F750" s="101" t="e">
        <f>VLOOKUP($B750,ma!$A:$B,2,0)</f>
        <v>#N/A</v>
      </c>
      <c r="G750" s="102"/>
      <c r="H750" s="103"/>
      <c r="I750" s="104"/>
      <c r="J750" s="99"/>
      <c r="K750" s="106"/>
      <c r="L750" s="107">
        <f t="shared" si="77"/>
        <v>0</v>
      </c>
      <c r="M750" s="104"/>
      <c r="N750" s="101"/>
      <c r="O750" s="101">
        <v>1</v>
      </c>
      <c r="P750" s="104" t="e">
        <f>VLOOKUP($B750,ma!$A:$C,3,0)</f>
        <v>#N/A</v>
      </c>
      <c r="Q750" s="140">
        <v>860000</v>
      </c>
      <c r="R750" s="138">
        <v>7.5999999999999998E-2</v>
      </c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spans="1:27" ht="14">
      <c r="A751" s="97">
        <f t="shared" si="78"/>
        <v>204</v>
      </c>
      <c r="B751" s="98"/>
      <c r="C751" s="99"/>
      <c r="D751" s="100"/>
      <c r="E751" s="99" t="e">
        <f>VLOOKUP($C751,xe!$A:$B,2,0)</f>
        <v>#N/A</v>
      </c>
      <c r="F751" s="101" t="e">
        <f>VLOOKUP($B751,ma!$A:$B,2,0)</f>
        <v>#N/A</v>
      </c>
      <c r="G751" s="102"/>
      <c r="H751" s="103"/>
      <c r="I751" s="104"/>
      <c r="J751" s="99"/>
      <c r="K751" s="106"/>
      <c r="L751" s="107">
        <f t="shared" si="77"/>
        <v>0</v>
      </c>
      <c r="M751" s="104"/>
      <c r="N751" s="101"/>
      <c r="O751" s="101">
        <v>1</v>
      </c>
      <c r="P751" s="104" t="e">
        <f>VLOOKUP($B751,ma!$A:$C,3,0)</f>
        <v>#N/A</v>
      </c>
      <c r="Q751" s="140">
        <v>860000</v>
      </c>
      <c r="R751" s="138">
        <v>7.5999999999999998E-2</v>
      </c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spans="1:27" ht="14">
      <c r="A752" s="97">
        <f t="shared" si="78"/>
        <v>205</v>
      </c>
      <c r="B752" s="98"/>
      <c r="C752" s="99"/>
      <c r="D752" s="100"/>
      <c r="E752" s="99" t="e">
        <f>VLOOKUP($C752,xe!$A:$B,2,0)</f>
        <v>#N/A</v>
      </c>
      <c r="F752" s="101" t="e">
        <f>VLOOKUP($B752,ma!$A:$B,2,0)</f>
        <v>#N/A</v>
      </c>
      <c r="G752" s="102"/>
      <c r="H752" s="103"/>
      <c r="I752" s="104"/>
      <c r="J752" s="99"/>
      <c r="K752" s="106"/>
      <c r="L752" s="107">
        <f t="shared" si="77"/>
        <v>0</v>
      </c>
      <c r="M752" s="104"/>
      <c r="N752" s="101"/>
      <c r="O752" s="101">
        <v>1</v>
      </c>
      <c r="P752" s="104" t="e">
        <f>VLOOKUP($B752,ma!$A:$C,3,0)</f>
        <v>#N/A</v>
      </c>
      <c r="Q752" s="140">
        <v>860000</v>
      </c>
      <c r="R752" s="138">
        <v>7.5999999999999998E-2</v>
      </c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spans="1:27" ht="14">
      <c r="A753" s="97">
        <f t="shared" si="78"/>
        <v>206</v>
      </c>
      <c r="B753" s="98"/>
      <c r="C753" s="99"/>
      <c r="D753" s="100"/>
      <c r="E753" s="99" t="e">
        <f>VLOOKUP($C753,xe!$A:$B,2,0)</f>
        <v>#N/A</v>
      </c>
      <c r="F753" s="101" t="e">
        <f>VLOOKUP($B753,ma!$A:$B,2,0)</f>
        <v>#N/A</v>
      </c>
      <c r="G753" s="102"/>
      <c r="H753" s="103"/>
      <c r="I753" s="104"/>
      <c r="J753" s="99"/>
      <c r="K753" s="106"/>
      <c r="L753" s="107">
        <f t="shared" si="77"/>
        <v>0</v>
      </c>
      <c r="M753" s="104"/>
      <c r="N753" s="101"/>
      <c r="O753" s="101">
        <v>1</v>
      </c>
      <c r="P753" s="104" t="e">
        <f>VLOOKUP($B753,ma!$A:$C,3,0)</f>
        <v>#N/A</v>
      </c>
      <c r="Q753" s="140">
        <v>860000</v>
      </c>
      <c r="R753" s="138">
        <v>7.5999999999999998E-2</v>
      </c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spans="1:27" ht="14">
      <c r="A754" s="97">
        <f t="shared" si="78"/>
        <v>207</v>
      </c>
      <c r="B754" s="98"/>
      <c r="C754" s="99"/>
      <c r="D754" s="100"/>
      <c r="E754" s="99" t="e">
        <f>VLOOKUP($C754,xe!$A:$B,2,0)</f>
        <v>#N/A</v>
      </c>
      <c r="F754" s="101" t="e">
        <f>VLOOKUP($B754,ma!$A:$B,2,0)</f>
        <v>#N/A</v>
      </c>
      <c r="G754" s="102"/>
      <c r="H754" s="103"/>
      <c r="I754" s="104"/>
      <c r="J754" s="99"/>
      <c r="K754" s="106"/>
      <c r="L754" s="107">
        <f t="shared" si="77"/>
        <v>0</v>
      </c>
      <c r="M754" s="104"/>
      <c r="N754" s="101"/>
      <c r="O754" s="101">
        <v>1</v>
      </c>
      <c r="P754" s="104" t="e">
        <f>VLOOKUP($B754,ma!$A:$C,3,0)</f>
        <v>#N/A</v>
      </c>
      <c r="Q754" s="140">
        <v>860000</v>
      </c>
      <c r="R754" s="138">
        <v>7.5999999999999998E-2</v>
      </c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spans="1:27" ht="14">
      <c r="A755" s="97">
        <f t="shared" si="78"/>
        <v>208</v>
      </c>
      <c r="B755" s="98"/>
      <c r="C755" s="99"/>
      <c r="D755" s="100"/>
      <c r="E755" s="99" t="e">
        <f>VLOOKUP($C755,xe!$A:$B,2,0)</f>
        <v>#N/A</v>
      </c>
      <c r="F755" s="101" t="e">
        <f>VLOOKUP($B755,ma!$A:$B,2,0)</f>
        <v>#N/A</v>
      </c>
      <c r="G755" s="102"/>
      <c r="H755" s="103"/>
      <c r="I755" s="104"/>
      <c r="J755" s="99"/>
      <c r="K755" s="106"/>
      <c r="L755" s="107">
        <f t="shared" si="77"/>
        <v>0</v>
      </c>
      <c r="M755" s="104"/>
      <c r="N755" s="101"/>
      <c r="O755" s="101">
        <v>1</v>
      </c>
      <c r="P755" s="104" t="e">
        <f>VLOOKUP($B755,ma!$A:$C,3,0)</f>
        <v>#N/A</v>
      </c>
      <c r="Q755" s="140">
        <v>860000</v>
      </c>
      <c r="R755" s="138">
        <v>7.5999999999999998E-2</v>
      </c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spans="1:27" ht="14">
      <c r="A756" s="97">
        <f t="shared" si="78"/>
        <v>209</v>
      </c>
      <c r="B756" s="98"/>
      <c r="C756" s="99"/>
      <c r="D756" s="100"/>
      <c r="E756" s="99" t="e">
        <f>VLOOKUP($C756,xe!$A:$B,2,0)</f>
        <v>#N/A</v>
      </c>
      <c r="F756" s="101" t="e">
        <f>VLOOKUP($B756,ma!$A:$B,2,0)</f>
        <v>#N/A</v>
      </c>
      <c r="G756" s="102"/>
      <c r="H756" s="103"/>
      <c r="I756" s="104"/>
      <c r="J756" s="99"/>
      <c r="K756" s="106"/>
      <c r="L756" s="107">
        <f t="shared" si="77"/>
        <v>0</v>
      </c>
      <c r="M756" s="104"/>
      <c r="N756" s="101"/>
      <c r="O756" s="101">
        <v>1</v>
      </c>
      <c r="P756" s="104" t="e">
        <f>VLOOKUP($B756,ma!$A:$C,3,0)</f>
        <v>#N/A</v>
      </c>
      <c r="Q756" s="140">
        <v>860000</v>
      </c>
      <c r="R756" s="138">
        <v>7.5999999999999998E-2</v>
      </c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spans="1:27" ht="14">
      <c r="A757" s="97">
        <f t="shared" si="78"/>
        <v>210</v>
      </c>
      <c r="B757" s="98"/>
      <c r="C757" s="99"/>
      <c r="D757" s="100"/>
      <c r="E757" s="99" t="e">
        <f>VLOOKUP($C757,xe!$A:$B,2,0)</f>
        <v>#N/A</v>
      </c>
      <c r="F757" s="101" t="e">
        <f>VLOOKUP($B757,ma!$A:$B,2,0)</f>
        <v>#N/A</v>
      </c>
      <c r="G757" s="102"/>
      <c r="H757" s="103"/>
      <c r="I757" s="104"/>
      <c r="J757" s="99"/>
      <c r="K757" s="106"/>
      <c r="L757" s="107">
        <f t="shared" si="77"/>
        <v>0</v>
      </c>
      <c r="M757" s="104"/>
      <c r="N757" s="101"/>
      <c r="O757" s="101">
        <v>1</v>
      </c>
      <c r="P757" s="104" t="e">
        <f>VLOOKUP($B757,ma!$A:$C,3,0)</f>
        <v>#N/A</v>
      </c>
      <c r="Q757" s="140">
        <v>860000</v>
      </c>
      <c r="R757" s="138">
        <v>7.5999999999999998E-2</v>
      </c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spans="1:27" ht="14">
      <c r="A758" s="97">
        <f t="shared" si="78"/>
        <v>211</v>
      </c>
      <c r="B758" s="98"/>
      <c r="C758" s="99"/>
      <c r="D758" s="100"/>
      <c r="E758" s="99" t="e">
        <f>VLOOKUP($C758,xe!$A:$B,2,0)</f>
        <v>#N/A</v>
      </c>
      <c r="F758" s="101" t="e">
        <f>VLOOKUP($B758,ma!$A:$B,2,0)</f>
        <v>#N/A</v>
      </c>
      <c r="G758" s="102"/>
      <c r="H758" s="103"/>
      <c r="I758" s="104"/>
      <c r="J758" s="99"/>
      <c r="K758" s="106"/>
      <c r="L758" s="107">
        <f t="shared" si="77"/>
        <v>0</v>
      </c>
      <c r="M758" s="104"/>
      <c r="N758" s="101"/>
      <c r="O758" s="101">
        <v>1</v>
      </c>
      <c r="P758" s="104" t="e">
        <f>VLOOKUP($B758,ma!$A:$C,3,0)</f>
        <v>#N/A</v>
      </c>
      <c r="Q758" s="140">
        <v>860000</v>
      </c>
      <c r="R758" s="138">
        <v>7.5999999999999998E-2</v>
      </c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spans="1:27" ht="14">
      <c r="A759" s="97">
        <f t="shared" si="78"/>
        <v>212</v>
      </c>
      <c r="B759" s="98"/>
      <c r="C759" s="99"/>
      <c r="D759" s="100"/>
      <c r="E759" s="99" t="e">
        <f>VLOOKUP($C759,xe!$A:$B,2,0)</f>
        <v>#N/A</v>
      </c>
      <c r="F759" s="101" t="e">
        <f>VLOOKUP($B759,ma!$A:$B,2,0)</f>
        <v>#N/A</v>
      </c>
      <c r="G759" s="102"/>
      <c r="H759" s="103"/>
      <c r="I759" s="104"/>
      <c r="J759" s="99"/>
      <c r="K759" s="106"/>
      <c r="L759" s="107">
        <f t="shared" si="77"/>
        <v>0</v>
      </c>
      <c r="M759" s="104"/>
      <c r="N759" s="101"/>
      <c r="O759" s="101">
        <v>1</v>
      </c>
      <c r="P759" s="104" t="e">
        <f>VLOOKUP($B759,ma!$A:$C,3,0)</f>
        <v>#N/A</v>
      </c>
      <c r="Q759" s="140">
        <v>860000</v>
      </c>
      <c r="R759" s="138">
        <v>7.5999999999999998E-2</v>
      </c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spans="1:27" ht="14">
      <c r="A760" s="97">
        <f t="shared" si="78"/>
        <v>213</v>
      </c>
      <c r="B760" s="98"/>
      <c r="C760" s="99"/>
      <c r="D760" s="100"/>
      <c r="E760" s="99" t="e">
        <f>VLOOKUP($C760,xe!$A:$B,2,0)</f>
        <v>#N/A</v>
      </c>
      <c r="F760" s="101" t="e">
        <f>VLOOKUP($B760,ma!$A:$B,2,0)</f>
        <v>#N/A</v>
      </c>
      <c r="G760" s="102"/>
      <c r="H760" s="103"/>
      <c r="I760" s="104"/>
      <c r="J760" s="99"/>
      <c r="K760" s="106"/>
      <c r="L760" s="107">
        <f t="shared" si="77"/>
        <v>0</v>
      </c>
      <c r="M760" s="104"/>
      <c r="N760" s="101"/>
      <c r="O760" s="101">
        <v>1</v>
      </c>
      <c r="P760" s="104" t="e">
        <f>VLOOKUP($B760,ma!$A:$C,3,0)</f>
        <v>#N/A</v>
      </c>
      <c r="Q760" s="140">
        <v>860000</v>
      </c>
      <c r="R760" s="138">
        <v>7.5999999999999998E-2</v>
      </c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spans="1:27" ht="14">
      <c r="A761" s="97">
        <f t="shared" si="78"/>
        <v>214</v>
      </c>
      <c r="B761" s="98"/>
      <c r="C761" s="99"/>
      <c r="D761" s="100"/>
      <c r="E761" s="99" t="e">
        <f>VLOOKUP($C761,xe!$A:$B,2,0)</f>
        <v>#N/A</v>
      </c>
      <c r="F761" s="101" t="e">
        <f>VLOOKUP($B761,ma!$A:$B,2,0)</f>
        <v>#N/A</v>
      </c>
      <c r="G761" s="102"/>
      <c r="H761" s="103"/>
      <c r="I761" s="104"/>
      <c r="J761" s="99"/>
      <c r="K761" s="106"/>
      <c r="L761" s="107">
        <f t="shared" si="77"/>
        <v>0</v>
      </c>
      <c r="M761" s="104"/>
      <c r="N761" s="101"/>
      <c r="O761" s="101">
        <v>1</v>
      </c>
      <c r="P761" s="104" t="e">
        <f>VLOOKUP($B761,ma!$A:$C,3,0)</f>
        <v>#N/A</v>
      </c>
      <c r="Q761" s="140">
        <v>860000</v>
      </c>
      <c r="R761" s="138">
        <v>7.5999999999999998E-2</v>
      </c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spans="1:27" ht="14">
      <c r="A762" s="97">
        <f t="shared" si="78"/>
        <v>215</v>
      </c>
      <c r="B762" s="98"/>
      <c r="C762" s="99"/>
      <c r="D762" s="100"/>
      <c r="E762" s="99" t="e">
        <f>VLOOKUP($C762,xe!$A:$B,2,0)</f>
        <v>#N/A</v>
      </c>
      <c r="F762" s="101" t="e">
        <f>VLOOKUP($B762,ma!$A:$B,2,0)</f>
        <v>#N/A</v>
      </c>
      <c r="G762" s="102"/>
      <c r="H762" s="103"/>
      <c r="I762" s="104"/>
      <c r="J762" s="99"/>
      <c r="K762" s="106"/>
      <c r="L762" s="107">
        <f t="shared" si="77"/>
        <v>0</v>
      </c>
      <c r="M762" s="104"/>
      <c r="N762" s="101"/>
      <c r="O762" s="101">
        <v>1</v>
      </c>
      <c r="P762" s="104" t="e">
        <f>VLOOKUP($B762,ma!$A:$C,3,0)</f>
        <v>#N/A</v>
      </c>
      <c r="Q762" s="140">
        <v>860000</v>
      </c>
      <c r="R762" s="138">
        <v>7.5999999999999998E-2</v>
      </c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spans="1:27" ht="14">
      <c r="A763" s="97">
        <f t="shared" si="78"/>
        <v>216</v>
      </c>
      <c r="B763" s="98"/>
      <c r="C763" s="99"/>
      <c r="D763" s="100"/>
      <c r="E763" s="99" t="e">
        <f>VLOOKUP($C763,xe!$A:$B,2,0)</f>
        <v>#N/A</v>
      </c>
      <c r="F763" s="101" t="e">
        <f>VLOOKUP($B763,ma!$A:$B,2,0)</f>
        <v>#N/A</v>
      </c>
      <c r="G763" s="102"/>
      <c r="H763" s="103"/>
      <c r="I763" s="104"/>
      <c r="J763" s="99"/>
      <c r="K763" s="106"/>
      <c r="L763" s="107">
        <f t="shared" si="77"/>
        <v>0</v>
      </c>
      <c r="M763" s="104"/>
      <c r="N763" s="101"/>
      <c r="O763" s="101">
        <v>1</v>
      </c>
      <c r="P763" s="104" t="e">
        <f>VLOOKUP($B763,ma!$A:$C,3,0)</f>
        <v>#N/A</v>
      </c>
      <c r="Q763" s="140">
        <v>860000</v>
      </c>
      <c r="R763" s="138">
        <v>7.5999999999999998E-2</v>
      </c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spans="1:27" ht="14">
      <c r="A764" s="97">
        <f t="shared" si="78"/>
        <v>217</v>
      </c>
      <c r="B764" s="98"/>
      <c r="C764" s="99"/>
      <c r="D764" s="100"/>
      <c r="E764" s="99" t="e">
        <f>VLOOKUP($C764,xe!$A:$B,2,0)</f>
        <v>#N/A</v>
      </c>
      <c r="F764" s="101" t="e">
        <f>VLOOKUP($B764,ma!$A:$B,2,0)</f>
        <v>#N/A</v>
      </c>
      <c r="G764" s="102"/>
      <c r="H764" s="103"/>
      <c r="I764" s="104"/>
      <c r="J764" s="99"/>
      <c r="K764" s="106"/>
      <c r="L764" s="107">
        <f t="shared" si="77"/>
        <v>0</v>
      </c>
      <c r="M764" s="104"/>
      <c r="N764" s="101"/>
      <c r="O764" s="101">
        <v>1</v>
      </c>
      <c r="P764" s="104" t="e">
        <f>VLOOKUP($B764,ma!$A:$C,3,0)</f>
        <v>#N/A</v>
      </c>
      <c r="Q764" s="140">
        <v>860000</v>
      </c>
      <c r="R764" s="138">
        <v>7.5999999999999998E-2</v>
      </c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spans="1:27" ht="14">
      <c r="A765" s="97">
        <f t="shared" si="78"/>
        <v>218</v>
      </c>
      <c r="B765" s="98"/>
      <c r="C765" s="99"/>
      <c r="D765" s="100"/>
      <c r="E765" s="99" t="e">
        <f>VLOOKUP($C765,xe!$A:$B,2,0)</f>
        <v>#N/A</v>
      </c>
      <c r="F765" s="101" t="e">
        <f>VLOOKUP($B765,ma!$A:$B,2,0)</f>
        <v>#N/A</v>
      </c>
      <c r="G765" s="102"/>
      <c r="H765" s="103"/>
      <c r="I765" s="104"/>
      <c r="J765" s="99"/>
      <c r="K765" s="106"/>
      <c r="L765" s="107">
        <f t="shared" si="77"/>
        <v>0</v>
      </c>
      <c r="M765" s="104"/>
      <c r="N765" s="101"/>
      <c r="O765" s="101">
        <v>1</v>
      </c>
      <c r="P765" s="104" t="e">
        <f>VLOOKUP($B765,ma!$A:$C,3,0)</f>
        <v>#N/A</v>
      </c>
      <c r="Q765" s="140">
        <v>860000</v>
      </c>
      <c r="R765" s="138">
        <v>7.5999999999999998E-2</v>
      </c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spans="1:27" ht="14">
      <c r="A766" s="97">
        <f t="shared" si="78"/>
        <v>219</v>
      </c>
      <c r="B766" s="98"/>
      <c r="C766" s="99"/>
      <c r="D766" s="100"/>
      <c r="E766" s="99" t="e">
        <f>VLOOKUP($C766,xe!$A:$B,2,0)</f>
        <v>#N/A</v>
      </c>
      <c r="F766" s="101" t="e">
        <f>VLOOKUP($B766,ma!$A:$B,2,0)</f>
        <v>#N/A</v>
      </c>
      <c r="G766" s="102"/>
      <c r="H766" s="103"/>
      <c r="I766" s="104"/>
      <c r="J766" s="99"/>
      <c r="K766" s="106"/>
      <c r="L766" s="107">
        <f t="shared" si="77"/>
        <v>0</v>
      </c>
      <c r="M766" s="104"/>
      <c r="N766" s="101"/>
      <c r="O766" s="101">
        <v>1</v>
      </c>
      <c r="P766" s="104" t="e">
        <f>VLOOKUP($B766,ma!$A:$C,3,0)</f>
        <v>#N/A</v>
      </c>
      <c r="Q766" s="140">
        <v>860000</v>
      </c>
      <c r="R766" s="138">
        <v>7.5999999999999998E-2</v>
      </c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spans="1:27" ht="14">
      <c r="A767" s="97">
        <f t="shared" si="78"/>
        <v>220</v>
      </c>
      <c r="B767" s="98"/>
      <c r="C767" s="99"/>
      <c r="D767" s="100"/>
      <c r="E767" s="99" t="e">
        <f>VLOOKUP($C767,xe!$A:$B,2,0)</f>
        <v>#N/A</v>
      </c>
      <c r="F767" s="101" t="e">
        <f>VLOOKUP($B767,ma!$A:$B,2,0)</f>
        <v>#N/A</v>
      </c>
      <c r="G767" s="102"/>
      <c r="H767" s="103"/>
      <c r="I767" s="104"/>
      <c r="J767" s="99"/>
      <c r="K767" s="106"/>
      <c r="L767" s="107">
        <f t="shared" si="77"/>
        <v>0</v>
      </c>
      <c r="M767" s="104"/>
      <c r="N767" s="101"/>
      <c r="O767" s="101">
        <v>1</v>
      </c>
      <c r="P767" s="104" t="e">
        <f>VLOOKUP($B767,ma!$A:$C,3,0)</f>
        <v>#N/A</v>
      </c>
      <c r="Q767" s="140">
        <v>860000</v>
      </c>
      <c r="R767" s="138">
        <v>7.5999999999999998E-2</v>
      </c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spans="1:27" ht="14">
      <c r="A768" s="97">
        <f t="shared" si="78"/>
        <v>221</v>
      </c>
      <c r="B768" s="98"/>
      <c r="C768" s="99"/>
      <c r="D768" s="100"/>
      <c r="E768" s="99" t="e">
        <f>VLOOKUP($C768,xe!$A:$B,2,0)</f>
        <v>#N/A</v>
      </c>
      <c r="F768" s="101" t="e">
        <f>VLOOKUP($B768,ma!$A:$B,2,0)</f>
        <v>#N/A</v>
      </c>
      <c r="G768" s="102"/>
      <c r="H768" s="103"/>
      <c r="I768" s="104"/>
      <c r="J768" s="99"/>
      <c r="K768" s="106"/>
      <c r="L768" s="107">
        <f t="shared" si="77"/>
        <v>0</v>
      </c>
      <c r="M768" s="104"/>
      <c r="N768" s="101"/>
      <c r="O768" s="101">
        <v>1</v>
      </c>
      <c r="P768" s="104" t="e">
        <f>VLOOKUP($B768,ma!$A:$C,3,0)</f>
        <v>#N/A</v>
      </c>
      <c r="Q768" s="140">
        <v>860000</v>
      </c>
      <c r="R768" s="138">
        <v>7.5999999999999998E-2</v>
      </c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spans="1:27" ht="14">
      <c r="A769" s="97">
        <f t="shared" si="78"/>
        <v>222</v>
      </c>
      <c r="B769" s="98"/>
      <c r="C769" s="99"/>
      <c r="D769" s="100"/>
      <c r="E769" s="99" t="e">
        <f>VLOOKUP($C769,xe!$A:$B,2,0)</f>
        <v>#N/A</v>
      </c>
      <c r="F769" s="101" t="e">
        <f>VLOOKUP($B769,ma!$A:$B,2,0)</f>
        <v>#N/A</v>
      </c>
      <c r="G769" s="102"/>
      <c r="H769" s="103"/>
      <c r="I769" s="104"/>
      <c r="J769" s="99"/>
      <c r="K769" s="106"/>
      <c r="L769" s="107">
        <f t="shared" si="77"/>
        <v>0</v>
      </c>
      <c r="M769" s="104"/>
      <c r="N769" s="101"/>
      <c r="O769" s="101">
        <v>1</v>
      </c>
      <c r="P769" s="104" t="e">
        <f>VLOOKUP($B769,ma!$A:$C,3,0)</f>
        <v>#N/A</v>
      </c>
      <c r="Q769" s="140">
        <v>860000</v>
      </c>
      <c r="R769" s="138">
        <v>7.5999999999999998E-2</v>
      </c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spans="1:27" ht="14">
      <c r="A770" s="97">
        <f t="shared" si="78"/>
        <v>223</v>
      </c>
      <c r="B770" s="98"/>
      <c r="C770" s="99"/>
      <c r="D770" s="100"/>
      <c r="E770" s="99" t="e">
        <f>VLOOKUP($C770,xe!$A:$B,2,0)</f>
        <v>#N/A</v>
      </c>
      <c r="F770" s="101" t="e">
        <f>VLOOKUP($B770,ma!$A:$B,2,0)</f>
        <v>#N/A</v>
      </c>
      <c r="G770" s="102"/>
      <c r="H770" s="103"/>
      <c r="I770" s="104"/>
      <c r="J770" s="99"/>
      <c r="K770" s="106"/>
      <c r="L770" s="107">
        <f t="shared" si="77"/>
        <v>0</v>
      </c>
      <c r="M770" s="104"/>
      <c r="N770" s="101"/>
      <c r="O770" s="101">
        <v>1</v>
      </c>
      <c r="P770" s="104" t="e">
        <f>VLOOKUP($B770,ma!$A:$C,3,0)</f>
        <v>#N/A</v>
      </c>
      <c r="Q770" s="140">
        <v>860000</v>
      </c>
      <c r="R770" s="138">
        <v>7.5999999999999998E-2</v>
      </c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spans="1:27" ht="16">
      <c r="A771" s="97"/>
      <c r="B771" s="142"/>
      <c r="C771" s="143"/>
      <c r="D771" s="144"/>
      <c r="E771" s="145" t="e">
        <f>VLOOKUP($C771,xe!$A:$B,2,0)</f>
        <v>#N/A</v>
      </c>
      <c r="F771" s="146" t="e">
        <f>VLOOKUP($B771,ma!$A:$B,2,0)</f>
        <v>#N/A</v>
      </c>
      <c r="G771" s="147"/>
      <c r="H771" s="147"/>
      <c r="I771" s="148">
        <f>SUBTOTAL(9,I8:I770)</f>
        <v>0</v>
      </c>
      <c r="J771" s="149"/>
      <c r="K771" s="148">
        <f t="shared" ref="K771:M771" si="79">SUBTOTAL(9,K8:K770)</f>
        <v>819.79999999999961</v>
      </c>
      <c r="L771" s="148">
        <f t="shared" si="79"/>
        <v>39386000</v>
      </c>
      <c r="M771" s="148">
        <f t="shared" si="79"/>
        <v>3120000</v>
      </c>
      <c r="N771" s="148">
        <f>SUBTOTAL(9,N8:N604)</f>
        <v>0</v>
      </c>
      <c r="O771" s="148">
        <f t="shared" ref="O771:Q771" si="80">SUBTOTAL(9,O8:O770)</f>
        <v>763</v>
      </c>
      <c r="P771" s="148" t="e">
        <f t="shared" si="80"/>
        <v>#N/A</v>
      </c>
      <c r="Q771" s="148">
        <f t="shared" si="80"/>
        <v>659290000</v>
      </c>
      <c r="R771" s="22"/>
      <c r="S771" s="22"/>
      <c r="T771" s="22"/>
      <c r="U771" s="22"/>
    </row>
    <row r="772" spans="1:27" ht="16">
      <c r="A772" s="150"/>
      <c r="B772" s="150"/>
      <c r="C772" s="151"/>
      <c r="D772" s="152"/>
      <c r="E772" s="153" t="s">
        <v>2070</v>
      </c>
      <c r="F772" s="154">
        <f>I771+L771+M771</f>
        <v>42506000</v>
      </c>
      <c r="G772" s="155"/>
      <c r="H772" s="155"/>
      <c r="I772" s="156"/>
      <c r="J772" s="156"/>
      <c r="K772" s="157"/>
      <c r="L772" s="158"/>
      <c r="M772" s="159"/>
      <c r="N772" s="160"/>
      <c r="O772" s="160"/>
      <c r="P772" s="28"/>
      <c r="Q772" s="160"/>
      <c r="R772" s="22"/>
      <c r="S772" s="22"/>
      <c r="T772" s="22"/>
      <c r="U772" s="22"/>
    </row>
    <row r="773" spans="1:27" ht="16">
      <c r="A773" s="150"/>
      <c r="B773" s="150"/>
      <c r="C773" s="151"/>
      <c r="D773" s="152"/>
      <c r="E773" s="161" t="s">
        <v>2071</v>
      </c>
      <c r="F773" s="162">
        <v>7000000</v>
      </c>
      <c r="G773" s="155"/>
      <c r="H773" s="155"/>
      <c r="I773" s="156"/>
      <c r="J773" s="160"/>
      <c r="K773" s="163"/>
      <c r="L773" s="158"/>
      <c r="M773" s="159"/>
      <c r="N773" s="160"/>
      <c r="O773" s="156"/>
      <c r="P773" s="156"/>
      <c r="Q773" s="160"/>
      <c r="R773" s="22"/>
      <c r="S773" s="22"/>
      <c r="T773" s="22"/>
      <c r="U773" s="22"/>
    </row>
    <row r="774" spans="1:27" ht="16">
      <c r="A774" s="164"/>
      <c r="B774" s="164"/>
      <c r="C774" s="151"/>
      <c r="D774" s="152"/>
      <c r="E774" s="161" t="s">
        <v>2072</v>
      </c>
      <c r="F774" s="162">
        <v>800000</v>
      </c>
      <c r="G774" s="155"/>
      <c r="H774" s="155"/>
      <c r="I774" s="156"/>
      <c r="J774" s="156"/>
      <c r="K774" s="157"/>
      <c r="L774" s="158"/>
      <c r="M774" s="165"/>
      <c r="N774" s="156"/>
      <c r="O774" s="156"/>
      <c r="P774" s="156"/>
      <c r="Q774" s="160"/>
      <c r="R774" s="22"/>
      <c r="S774" s="22"/>
      <c r="T774" s="22"/>
      <c r="U774" s="22"/>
    </row>
    <row r="775" spans="1:27" ht="16">
      <c r="A775" s="150"/>
      <c r="B775" s="150"/>
      <c r="C775" s="166"/>
      <c r="D775" s="167"/>
      <c r="E775" s="161"/>
      <c r="F775" s="162">
        <f>SUM(F772:F774)</f>
        <v>50306000</v>
      </c>
      <c r="G775" s="155"/>
      <c r="H775" s="155"/>
      <c r="I775" s="156"/>
      <c r="J775" s="156"/>
      <c r="K775" s="157"/>
      <c r="L775" s="158"/>
      <c r="M775" s="165"/>
      <c r="N775" s="156"/>
      <c r="O775" s="156"/>
      <c r="P775" s="156"/>
      <c r="Q775" s="156"/>
      <c r="R775" s="22"/>
      <c r="S775" s="22"/>
      <c r="T775" s="22"/>
      <c r="U775" s="22"/>
    </row>
    <row r="776" spans="1:27" ht="16">
      <c r="A776" s="150"/>
      <c r="B776" s="150"/>
      <c r="C776" s="166"/>
      <c r="D776" s="167"/>
      <c r="E776" s="161" t="s">
        <v>2073</v>
      </c>
      <c r="F776" s="162">
        <v>3000000</v>
      </c>
      <c r="G776" s="164"/>
      <c r="H776" s="155"/>
      <c r="I776" s="156"/>
      <c r="J776" s="156"/>
      <c r="K776" s="157"/>
      <c r="L776" s="158"/>
      <c r="M776" s="165"/>
      <c r="N776" s="156"/>
      <c r="O776" s="156"/>
      <c r="P776" s="156"/>
      <c r="Q776" s="156"/>
      <c r="R776" s="22"/>
      <c r="S776" s="22"/>
      <c r="T776" s="22"/>
      <c r="U776" s="22"/>
    </row>
    <row r="777" spans="1:27" ht="16">
      <c r="A777" s="156"/>
      <c r="B777" s="156"/>
      <c r="C777" s="166"/>
      <c r="D777" s="167"/>
      <c r="E777" s="161" t="s">
        <v>2074</v>
      </c>
      <c r="F777" s="162"/>
      <c r="G777" s="254"/>
      <c r="H777" s="253"/>
      <c r="I777" s="160"/>
      <c r="J777" s="156"/>
      <c r="K777" s="157"/>
      <c r="L777" s="158"/>
      <c r="M777" s="165"/>
      <c r="N777" s="156"/>
      <c r="O777" s="156"/>
      <c r="P777" s="156"/>
      <c r="Q777" s="156"/>
      <c r="R777" s="22"/>
      <c r="S777" s="22"/>
      <c r="T777" s="22"/>
      <c r="U777" s="22"/>
    </row>
    <row r="778" spans="1:27" ht="18">
      <c r="A778" s="150"/>
      <c r="B778" s="150"/>
      <c r="C778" s="166"/>
      <c r="D778" s="167"/>
      <c r="E778" s="161" t="s">
        <v>2075</v>
      </c>
      <c r="F778" s="168"/>
      <c r="G778" s="169"/>
      <c r="H778" s="155"/>
      <c r="I778" s="156"/>
      <c r="J778" s="156"/>
      <c r="K778" s="157"/>
      <c r="L778" s="158"/>
      <c r="M778" s="165"/>
      <c r="N778" s="156"/>
      <c r="O778" s="156"/>
      <c r="P778" s="156"/>
      <c r="Q778" s="156"/>
      <c r="R778" s="22"/>
      <c r="S778" s="22"/>
      <c r="T778" s="22"/>
      <c r="U778" s="22"/>
    </row>
    <row r="779" spans="1:27" ht="18">
      <c r="A779" s="150"/>
      <c r="B779" s="150"/>
      <c r="C779" s="166"/>
      <c r="D779" s="167"/>
      <c r="E779" s="170" t="s">
        <v>2076</v>
      </c>
      <c r="F779" s="171">
        <f>F775-F776-F777-F778</f>
        <v>47306000</v>
      </c>
      <c r="G779" s="169"/>
      <c r="H779" s="155"/>
      <c r="I779" s="156"/>
      <c r="J779" s="156"/>
      <c r="K779" s="157"/>
      <c r="L779" s="158"/>
      <c r="M779" s="165"/>
      <c r="N779" s="156"/>
      <c r="O779" s="156"/>
      <c r="P779" s="156"/>
      <c r="Q779" s="156"/>
      <c r="R779" s="22"/>
      <c r="S779" s="22"/>
      <c r="T779" s="22"/>
      <c r="U779" s="22"/>
    </row>
    <row r="780" spans="1:27" ht="13">
      <c r="C780" s="172"/>
      <c r="D780" s="172"/>
      <c r="L780" s="64"/>
      <c r="M780" s="173"/>
      <c r="R780" s="22"/>
    </row>
    <row r="781" spans="1:27" ht="13">
      <c r="C781" s="172"/>
      <c r="D781" s="172"/>
      <c r="L781" s="64"/>
      <c r="M781" s="173"/>
      <c r="R781" s="22"/>
    </row>
    <row r="782" spans="1:27" ht="13">
      <c r="C782" s="172"/>
      <c r="D782" s="172"/>
      <c r="L782" s="64"/>
      <c r="M782" s="173"/>
      <c r="R782" s="22"/>
    </row>
    <row r="783" spans="1:27" ht="13">
      <c r="C783" s="172"/>
      <c r="D783" s="172"/>
      <c r="L783" s="64"/>
      <c r="M783" s="173"/>
      <c r="R783" s="22"/>
    </row>
    <row r="784" spans="1:27" ht="13">
      <c r="C784" s="172"/>
      <c r="D784" s="172"/>
      <c r="L784" s="64"/>
      <c r="M784" s="173"/>
      <c r="R784" s="22"/>
    </row>
    <row r="785" spans="3:18" ht="13">
      <c r="C785" s="172"/>
      <c r="D785" s="172"/>
      <c r="L785" s="64"/>
      <c r="M785" s="173"/>
      <c r="R785" s="22"/>
    </row>
    <row r="786" spans="3:18" ht="13">
      <c r="C786" s="172"/>
      <c r="D786" s="172"/>
      <c r="L786" s="64"/>
      <c r="M786" s="173"/>
      <c r="R786" s="22"/>
    </row>
    <row r="787" spans="3:18" ht="13">
      <c r="C787" s="172"/>
      <c r="D787" s="172"/>
      <c r="L787" s="64"/>
      <c r="M787" s="173"/>
      <c r="R787" s="22"/>
    </row>
    <row r="788" spans="3:18" ht="13">
      <c r="C788" s="172"/>
      <c r="D788" s="172"/>
      <c r="L788" s="64"/>
      <c r="M788" s="173"/>
      <c r="R788" s="22"/>
    </row>
    <row r="789" spans="3:18" ht="13">
      <c r="C789" s="172"/>
      <c r="D789" s="172"/>
      <c r="L789" s="64"/>
      <c r="M789" s="173"/>
      <c r="R789" s="22"/>
    </row>
    <row r="790" spans="3:18" ht="13">
      <c r="C790" s="172"/>
      <c r="D790" s="172"/>
      <c r="L790" s="64"/>
      <c r="M790" s="173"/>
      <c r="R790" s="22"/>
    </row>
    <row r="791" spans="3:18" ht="13">
      <c r="C791" s="172"/>
      <c r="D791" s="172"/>
      <c r="L791" s="64"/>
      <c r="M791" s="173"/>
      <c r="R791" s="22"/>
    </row>
    <row r="792" spans="3:18" ht="13">
      <c r="C792" s="172"/>
      <c r="D792" s="172"/>
      <c r="L792" s="64"/>
      <c r="M792" s="173"/>
      <c r="R792" s="22"/>
    </row>
    <row r="793" spans="3:18" ht="13">
      <c r="C793" s="172"/>
      <c r="D793" s="172"/>
      <c r="L793" s="64"/>
      <c r="M793" s="173"/>
      <c r="R793" s="22"/>
    </row>
    <row r="794" spans="3:18" ht="13">
      <c r="C794" s="172"/>
      <c r="D794" s="172"/>
      <c r="L794" s="64"/>
      <c r="M794" s="173"/>
      <c r="R794" s="22"/>
    </row>
    <row r="795" spans="3:18" ht="13">
      <c r="C795" s="172"/>
      <c r="D795" s="172"/>
      <c r="L795" s="64"/>
      <c r="M795" s="173"/>
      <c r="R795" s="22"/>
    </row>
    <row r="796" spans="3:18" ht="13">
      <c r="C796" s="172"/>
      <c r="D796" s="172"/>
      <c r="L796" s="64"/>
      <c r="M796" s="173"/>
      <c r="R796" s="22"/>
    </row>
    <row r="797" spans="3:18" ht="13">
      <c r="C797" s="172"/>
      <c r="D797" s="172"/>
      <c r="L797" s="64"/>
      <c r="M797" s="173"/>
      <c r="R797" s="22"/>
    </row>
    <row r="798" spans="3:18" ht="13">
      <c r="C798" s="172"/>
      <c r="D798" s="172"/>
      <c r="L798" s="64"/>
      <c r="M798" s="173"/>
      <c r="R798" s="22"/>
    </row>
    <row r="799" spans="3:18" ht="13">
      <c r="C799" s="172"/>
      <c r="D799" s="172"/>
      <c r="L799" s="64"/>
      <c r="M799" s="173"/>
      <c r="R799" s="22"/>
    </row>
    <row r="800" spans="3:18" ht="13">
      <c r="C800" s="172"/>
      <c r="D800" s="172"/>
      <c r="L800" s="64"/>
      <c r="M800" s="173"/>
      <c r="R800" s="22"/>
    </row>
    <row r="801" spans="3:18" ht="13">
      <c r="C801" s="172"/>
      <c r="D801" s="172"/>
      <c r="L801" s="64"/>
      <c r="M801" s="173"/>
      <c r="R801" s="22"/>
    </row>
    <row r="802" spans="3:18" ht="13">
      <c r="C802" s="172"/>
      <c r="D802" s="172"/>
      <c r="L802" s="64"/>
      <c r="M802" s="173"/>
      <c r="R802" s="22"/>
    </row>
    <row r="803" spans="3:18" ht="13">
      <c r="C803" s="172"/>
      <c r="D803" s="172"/>
      <c r="L803" s="64"/>
      <c r="M803" s="173"/>
      <c r="R803" s="22"/>
    </row>
    <row r="804" spans="3:18" ht="13">
      <c r="C804" s="172"/>
      <c r="D804" s="172"/>
      <c r="L804" s="64"/>
      <c r="M804" s="173"/>
      <c r="R804" s="22"/>
    </row>
    <row r="805" spans="3:18" ht="13">
      <c r="C805" s="172"/>
      <c r="D805" s="172"/>
      <c r="L805" s="64"/>
      <c r="M805" s="173"/>
      <c r="R805" s="22"/>
    </row>
    <row r="806" spans="3:18" ht="13">
      <c r="C806" s="172"/>
      <c r="D806" s="172"/>
      <c r="L806" s="64"/>
      <c r="M806" s="173"/>
      <c r="R806" s="22"/>
    </row>
    <row r="807" spans="3:18" ht="13">
      <c r="C807" s="172"/>
      <c r="D807" s="172"/>
      <c r="L807" s="64"/>
      <c r="M807" s="173"/>
      <c r="R807" s="22"/>
    </row>
    <row r="808" spans="3:18" ht="13">
      <c r="C808" s="172"/>
      <c r="D808" s="172"/>
      <c r="L808" s="64"/>
      <c r="M808" s="173"/>
      <c r="R808" s="22"/>
    </row>
    <row r="809" spans="3:18" ht="13">
      <c r="C809" s="172"/>
      <c r="D809" s="172"/>
      <c r="L809" s="64"/>
      <c r="M809" s="173"/>
      <c r="R809" s="22"/>
    </row>
    <row r="810" spans="3:18" ht="13">
      <c r="C810" s="172"/>
      <c r="D810" s="172"/>
      <c r="L810" s="64"/>
      <c r="M810" s="173"/>
      <c r="R810" s="22"/>
    </row>
    <row r="811" spans="3:18" ht="13">
      <c r="C811" s="172"/>
      <c r="D811" s="172"/>
      <c r="L811" s="64"/>
      <c r="M811" s="173"/>
      <c r="R811" s="22"/>
    </row>
    <row r="812" spans="3:18" ht="13">
      <c r="C812" s="172"/>
      <c r="D812" s="172"/>
      <c r="L812" s="64"/>
      <c r="M812" s="173"/>
      <c r="R812" s="22"/>
    </row>
    <row r="813" spans="3:18" ht="13">
      <c r="C813" s="172"/>
      <c r="D813" s="172"/>
      <c r="L813" s="64"/>
      <c r="M813" s="173"/>
      <c r="R813" s="22"/>
    </row>
    <row r="814" spans="3:18" ht="13">
      <c r="C814" s="172"/>
      <c r="D814" s="172"/>
      <c r="L814" s="64"/>
      <c r="M814" s="173"/>
      <c r="R814" s="22"/>
    </row>
    <row r="815" spans="3:18" ht="13">
      <c r="C815" s="172"/>
      <c r="D815" s="172"/>
      <c r="L815" s="64"/>
      <c r="M815" s="173"/>
      <c r="R815" s="22"/>
    </row>
    <row r="816" spans="3:18" ht="13">
      <c r="C816" s="172"/>
      <c r="D816" s="172"/>
      <c r="L816" s="64"/>
      <c r="M816" s="173"/>
      <c r="R816" s="22"/>
    </row>
    <row r="817" spans="3:18" ht="13">
      <c r="C817" s="172"/>
      <c r="D817" s="172"/>
      <c r="L817" s="64"/>
      <c r="M817" s="173"/>
      <c r="R817" s="22"/>
    </row>
    <row r="818" spans="3:18" ht="13">
      <c r="C818" s="172"/>
      <c r="D818" s="172"/>
      <c r="L818" s="64"/>
      <c r="M818" s="173"/>
      <c r="R818" s="22"/>
    </row>
    <row r="819" spans="3:18" ht="13">
      <c r="C819" s="172"/>
      <c r="D819" s="172"/>
      <c r="L819" s="64"/>
      <c r="M819" s="173"/>
      <c r="R819" s="22"/>
    </row>
    <row r="820" spans="3:18" ht="13">
      <c r="C820" s="172"/>
      <c r="D820" s="172"/>
      <c r="L820" s="64"/>
      <c r="M820" s="173"/>
      <c r="R820" s="22"/>
    </row>
    <row r="821" spans="3:18" ht="13">
      <c r="C821" s="172"/>
      <c r="D821" s="172"/>
      <c r="L821" s="64"/>
      <c r="M821" s="173"/>
      <c r="R821" s="22"/>
    </row>
    <row r="822" spans="3:18" ht="13">
      <c r="C822" s="172"/>
      <c r="D822" s="172"/>
      <c r="L822" s="64"/>
      <c r="M822" s="173"/>
      <c r="R822" s="22"/>
    </row>
    <row r="823" spans="3:18" ht="13">
      <c r="C823" s="172"/>
      <c r="D823" s="172"/>
      <c r="L823" s="64"/>
      <c r="M823" s="173"/>
      <c r="R823" s="22"/>
    </row>
    <row r="824" spans="3:18" ht="13">
      <c r="C824" s="172"/>
      <c r="D824" s="172"/>
      <c r="L824" s="64"/>
      <c r="M824" s="173"/>
      <c r="R824" s="22"/>
    </row>
    <row r="825" spans="3:18" ht="13">
      <c r="C825" s="172"/>
      <c r="D825" s="172"/>
      <c r="L825" s="64"/>
      <c r="M825" s="173"/>
      <c r="R825" s="22"/>
    </row>
    <row r="826" spans="3:18" ht="13">
      <c r="C826" s="172"/>
      <c r="D826" s="172"/>
      <c r="L826" s="64"/>
      <c r="M826" s="173"/>
      <c r="R826" s="22"/>
    </row>
    <row r="827" spans="3:18" ht="13">
      <c r="C827" s="172"/>
      <c r="D827" s="172"/>
      <c r="L827" s="64"/>
      <c r="M827" s="173"/>
      <c r="R827" s="22"/>
    </row>
    <row r="828" spans="3:18" ht="13">
      <c r="C828" s="172"/>
      <c r="D828" s="172"/>
      <c r="L828" s="64"/>
      <c r="M828" s="173"/>
      <c r="R828" s="22"/>
    </row>
    <row r="829" spans="3:18" ht="13">
      <c r="C829" s="172"/>
      <c r="D829" s="172"/>
      <c r="L829" s="64"/>
      <c r="M829" s="173"/>
      <c r="R829" s="22"/>
    </row>
    <row r="830" spans="3:18" ht="13">
      <c r="C830" s="172"/>
      <c r="D830" s="172"/>
      <c r="L830" s="64"/>
      <c r="M830" s="173"/>
      <c r="R830" s="22"/>
    </row>
    <row r="831" spans="3:18" ht="13">
      <c r="C831" s="172"/>
      <c r="D831" s="172"/>
      <c r="L831" s="64"/>
      <c r="M831" s="173"/>
      <c r="R831" s="22"/>
    </row>
    <row r="832" spans="3:18" ht="13">
      <c r="C832" s="172"/>
      <c r="D832" s="172"/>
      <c r="L832" s="64"/>
      <c r="M832" s="173"/>
      <c r="R832" s="22"/>
    </row>
    <row r="833" spans="3:18" ht="13">
      <c r="C833" s="172"/>
      <c r="D833" s="172"/>
      <c r="L833" s="64"/>
      <c r="M833" s="173"/>
      <c r="R833" s="22"/>
    </row>
    <row r="834" spans="3:18" ht="13">
      <c r="C834" s="172"/>
      <c r="D834" s="172"/>
      <c r="L834" s="64"/>
      <c r="M834" s="173"/>
      <c r="R834" s="22"/>
    </row>
    <row r="835" spans="3:18" ht="13">
      <c r="C835" s="172"/>
      <c r="D835" s="172"/>
      <c r="L835" s="64"/>
      <c r="M835" s="173"/>
      <c r="R835" s="22"/>
    </row>
    <row r="836" spans="3:18" ht="13">
      <c r="C836" s="172"/>
      <c r="D836" s="172"/>
      <c r="L836" s="64"/>
      <c r="M836" s="173"/>
      <c r="R836" s="22"/>
    </row>
    <row r="837" spans="3:18" ht="13">
      <c r="C837" s="172"/>
      <c r="D837" s="172"/>
      <c r="L837" s="64"/>
      <c r="M837" s="173"/>
      <c r="R837" s="22"/>
    </row>
    <row r="838" spans="3:18" ht="13">
      <c r="C838" s="172"/>
      <c r="D838" s="172"/>
      <c r="L838" s="64"/>
      <c r="M838" s="173"/>
      <c r="R838" s="22"/>
    </row>
    <row r="839" spans="3:18" ht="13">
      <c r="C839" s="172"/>
      <c r="D839" s="172"/>
      <c r="L839" s="64"/>
      <c r="M839" s="173"/>
      <c r="R839" s="22"/>
    </row>
    <row r="840" spans="3:18" ht="13">
      <c r="C840" s="172"/>
      <c r="D840" s="172"/>
      <c r="L840" s="64"/>
      <c r="M840" s="173"/>
      <c r="R840" s="22"/>
    </row>
    <row r="841" spans="3:18" ht="13">
      <c r="C841" s="172"/>
      <c r="D841" s="172"/>
      <c r="L841" s="64"/>
      <c r="M841" s="173"/>
      <c r="R841" s="22"/>
    </row>
    <row r="842" spans="3:18" ht="13">
      <c r="C842" s="172"/>
      <c r="D842" s="172"/>
      <c r="L842" s="64"/>
      <c r="M842" s="173"/>
      <c r="R842" s="22"/>
    </row>
    <row r="843" spans="3:18" ht="13">
      <c r="C843" s="172"/>
      <c r="D843" s="172"/>
      <c r="L843" s="64"/>
      <c r="M843" s="173"/>
      <c r="R843" s="22"/>
    </row>
    <row r="844" spans="3:18" ht="13">
      <c r="C844" s="172"/>
      <c r="D844" s="172"/>
      <c r="L844" s="64"/>
      <c r="M844" s="173"/>
      <c r="R844" s="22"/>
    </row>
    <row r="845" spans="3:18" ht="13">
      <c r="C845" s="172"/>
      <c r="D845" s="172"/>
      <c r="L845" s="64"/>
      <c r="M845" s="173"/>
      <c r="R845" s="22"/>
    </row>
    <row r="846" spans="3:18" ht="13">
      <c r="C846" s="172"/>
      <c r="D846" s="172"/>
      <c r="L846" s="64"/>
      <c r="M846" s="173"/>
      <c r="R846" s="22"/>
    </row>
    <row r="847" spans="3:18" ht="13">
      <c r="C847" s="172"/>
      <c r="D847" s="172"/>
      <c r="L847" s="64"/>
      <c r="M847" s="173"/>
      <c r="R847" s="22"/>
    </row>
    <row r="848" spans="3:18" ht="13">
      <c r="C848" s="172"/>
      <c r="D848" s="172"/>
      <c r="L848" s="64"/>
      <c r="M848" s="173"/>
      <c r="R848" s="22"/>
    </row>
    <row r="849" spans="3:18" ht="13">
      <c r="C849" s="172"/>
      <c r="D849" s="172"/>
      <c r="L849" s="64"/>
      <c r="M849" s="173"/>
      <c r="R849" s="22"/>
    </row>
    <row r="850" spans="3:18" ht="13">
      <c r="C850" s="172"/>
      <c r="D850" s="172"/>
      <c r="L850" s="64"/>
      <c r="M850" s="173"/>
      <c r="R850" s="22"/>
    </row>
    <row r="851" spans="3:18" ht="13">
      <c r="C851" s="172"/>
      <c r="D851" s="172"/>
      <c r="L851" s="64"/>
      <c r="M851" s="173"/>
      <c r="R851" s="22"/>
    </row>
    <row r="852" spans="3:18" ht="13">
      <c r="C852" s="172"/>
      <c r="D852" s="172"/>
      <c r="L852" s="64"/>
      <c r="M852" s="173"/>
      <c r="R852" s="22"/>
    </row>
    <row r="853" spans="3:18" ht="13">
      <c r="C853" s="172"/>
      <c r="D853" s="172"/>
      <c r="L853" s="64"/>
      <c r="M853" s="173"/>
      <c r="R853" s="22"/>
    </row>
    <row r="854" spans="3:18" ht="13">
      <c r="C854" s="172"/>
      <c r="D854" s="172"/>
      <c r="L854" s="64"/>
      <c r="M854" s="173"/>
      <c r="R854" s="22"/>
    </row>
    <row r="855" spans="3:18" ht="13">
      <c r="C855" s="172"/>
      <c r="D855" s="172"/>
      <c r="L855" s="64"/>
      <c r="M855" s="173"/>
      <c r="R855" s="22"/>
    </row>
    <row r="856" spans="3:18" ht="13">
      <c r="C856" s="172"/>
      <c r="D856" s="172"/>
      <c r="L856" s="64"/>
      <c r="M856" s="173"/>
      <c r="R856" s="22"/>
    </row>
    <row r="857" spans="3:18" ht="13">
      <c r="C857" s="172"/>
      <c r="D857" s="172"/>
      <c r="L857" s="64"/>
      <c r="M857" s="173"/>
      <c r="R857" s="22"/>
    </row>
    <row r="858" spans="3:18" ht="13">
      <c r="C858" s="172"/>
      <c r="D858" s="172"/>
      <c r="L858" s="64"/>
      <c r="M858" s="173"/>
      <c r="R858" s="22"/>
    </row>
    <row r="859" spans="3:18" ht="13">
      <c r="C859" s="172"/>
      <c r="D859" s="172"/>
      <c r="L859" s="64"/>
      <c r="M859" s="173"/>
      <c r="R859" s="22"/>
    </row>
    <row r="860" spans="3:18" ht="13">
      <c r="C860" s="172"/>
      <c r="D860" s="172"/>
      <c r="L860" s="64"/>
      <c r="M860" s="173"/>
      <c r="R860" s="22"/>
    </row>
    <row r="861" spans="3:18" ht="13">
      <c r="C861" s="172"/>
      <c r="D861" s="172"/>
      <c r="L861" s="64"/>
      <c r="M861" s="173"/>
      <c r="R861" s="22"/>
    </row>
    <row r="862" spans="3:18" ht="13">
      <c r="C862" s="172"/>
      <c r="D862" s="172"/>
      <c r="L862" s="64"/>
      <c r="M862" s="173"/>
      <c r="R862" s="22"/>
    </row>
    <row r="863" spans="3:18" ht="13">
      <c r="C863" s="172"/>
      <c r="D863" s="172"/>
      <c r="L863" s="64"/>
      <c r="M863" s="173"/>
      <c r="R863" s="22"/>
    </row>
    <row r="864" spans="3:18" ht="13">
      <c r="C864" s="172"/>
      <c r="D864" s="172"/>
      <c r="L864" s="64"/>
      <c r="M864" s="173"/>
      <c r="R864" s="22"/>
    </row>
    <row r="865" spans="3:18" ht="13">
      <c r="C865" s="172"/>
      <c r="D865" s="172"/>
      <c r="L865" s="64"/>
      <c r="M865" s="173"/>
      <c r="R865" s="22"/>
    </row>
    <row r="866" spans="3:18" ht="13">
      <c r="C866" s="172"/>
      <c r="D866" s="172"/>
      <c r="L866" s="64"/>
      <c r="M866" s="173"/>
      <c r="R866" s="22"/>
    </row>
    <row r="867" spans="3:18" ht="13">
      <c r="C867" s="172"/>
      <c r="D867" s="172"/>
      <c r="L867" s="64"/>
      <c r="M867" s="173"/>
      <c r="R867" s="22"/>
    </row>
    <row r="868" spans="3:18" ht="13">
      <c r="C868" s="172"/>
      <c r="D868" s="172"/>
      <c r="L868" s="64"/>
      <c r="M868" s="173"/>
      <c r="R868" s="22"/>
    </row>
    <row r="869" spans="3:18" ht="13">
      <c r="C869" s="172"/>
      <c r="D869" s="172"/>
      <c r="L869" s="64"/>
      <c r="M869" s="173"/>
      <c r="R869" s="22"/>
    </row>
    <row r="870" spans="3:18" ht="13">
      <c r="C870" s="172"/>
      <c r="D870" s="172"/>
      <c r="L870" s="64"/>
      <c r="M870" s="173"/>
      <c r="R870" s="22"/>
    </row>
    <row r="871" spans="3:18" ht="13">
      <c r="C871" s="172"/>
      <c r="D871" s="172"/>
      <c r="L871" s="64"/>
      <c r="M871" s="173"/>
      <c r="R871" s="22"/>
    </row>
    <row r="872" spans="3:18" ht="13">
      <c r="C872" s="172"/>
      <c r="D872" s="172"/>
      <c r="L872" s="64"/>
      <c r="M872" s="173"/>
      <c r="R872" s="22"/>
    </row>
    <row r="873" spans="3:18" ht="13">
      <c r="C873" s="172"/>
      <c r="D873" s="172"/>
      <c r="L873" s="64"/>
      <c r="M873" s="173"/>
      <c r="R873" s="22"/>
    </row>
    <row r="874" spans="3:18" ht="13">
      <c r="C874" s="172"/>
      <c r="D874" s="172"/>
      <c r="L874" s="64"/>
      <c r="M874" s="173"/>
      <c r="R874" s="22"/>
    </row>
    <row r="875" spans="3:18" ht="13">
      <c r="C875" s="172"/>
      <c r="D875" s="172"/>
      <c r="L875" s="64"/>
      <c r="M875" s="173"/>
      <c r="R875" s="22"/>
    </row>
    <row r="876" spans="3:18" ht="13">
      <c r="C876" s="172"/>
      <c r="D876" s="172"/>
      <c r="L876" s="64"/>
      <c r="M876" s="173"/>
      <c r="R876" s="22"/>
    </row>
    <row r="877" spans="3:18" ht="13">
      <c r="C877" s="172"/>
      <c r="D877" s="172"/>
      <c r="L877" s="64"/>
      <c r="M877" s="173"/>
      <c r="R877" s="22"/>
    </row>
    <row r="878" spans="3:18" ht="13">
      <c r="C878" s="172"/>
      <c r="D878" s="172"/>
      <c r="L878" s="64"/>
      <c r="M878" s="173"/>
      <c r="R878" s="22"/>
    </row>
    <row r="879" spans="3:18" ht="13">
      <c r="C879" s="172"/>
      <c r="D879" s="172"/>
      <c r="L879" s="64"/>
      <c r="M879" s="173"/>
      <c r="R879" s="22"/>
    </row>
    <row r="880" spans="3:18" ht="13">
      <c r="C880" s="172"/>
      <c r="D880" s="172"/>
      <c r="L880" s="64"/>
      <c r="M880" s="173"/>
      <c r="R880" s="22"/>
    </row>
    <row r="881" spans="3:18" ht="13">
      <c r="C881" s="172"/>
      <c r="D881" s="172"/>
      <c r="L881" s="64"/>
      <c r="M881" s="173"/>
      <c r="R881" s="22"/>
    </row>
    <row r="882" spans="3:18" ht="13">
      <c r="C882" s="172"/>
      <c r="D882" s="172"/>
      <c r="L882" s="64"/>
      <c r="M882" s="173"/>
      <c r="R882" s="22"/>
    </row>
    <row r="883" spans="3:18" ht="13">
      <c r="C883" s="172"/>
      <c r="D883" s="172"/>
      <c r="L883" s="64"/>
      <c r="M883" s="173"/>
      <c r="R883" s="22"/>
    </row>
    <row r="884" spans="3:18" ht="13">
      <c r="C884" s="172"/>
      <c r="D884" s="172"/>
      <c r="L884" s="64"/>
      <c r="M884" s="173"/>
      <c r="R884" s="22"/>
    </row>
    <row r="885" spans="3:18" ht="13">
      <c r="C885" s="172"/>
      <c r="D885" s="172"/>
      <c r="L885" s="64"/>
      <c r="M885" s="173"/>
      <c r="R885" s="22"/>
    </row>
    <row r="886" spans="3:18" ht="13">
      <c r="C886" s="172"/>
      <c r="D886" s="172"/>
      <c r="L886" s="64"/>
      <c r="M886" s="173"/>
      <c r="R886" s="22"/>
    </row>
    <row r="887" spans="3:18" ht="13">
      <c r="C887" s="172"/>
      <c r="D887" s="172"/>
      <c r="L887" s="64"/>
      <c r="M887" s="173"/>
      <c r="R887" s="22"/>
    </row>
    <row r="888" spans="3:18" ht="13">
      <c r="C888" s="172"/>
      <c r="D888" s="172"/>
      <c r="L888" s="64"/>
      <c r="M888" s="173"/>
      <c r="R888" s="22"/>
    </row>
    <row r="889" spans="3:18" ht="13">
      <c r="C889" s="172"/>
      <c r="D889" s="172"/>
      <c r="L889" s="64"/>
      <c r="M889" s="173"/>
      <c r="R889" s="22"/>
    </row>
    <row r="890" spans="3:18" ht="13">
      <c r="C890" s="172"/>
      <c r="D890" s="172"/>
      <c r="L890" s="64"/>
      <c r="M890" s="173"/>
      <c r="R890" s="22"/>
    </row>
    <row r="891" spans="3:18" ht="13">
      <c r="C891" s="172"/>
      <c r="D891" s="172"/>
      <c r="L891" s="64"/>
      <c r="M891" s="173"/>
      <c r="R891" s="22"/>
    </row>
    <row r="892" spans="3:18" ht="13">
      <c r="C892" s="172"/>
      <c r="D892" s="172"/>
      <c r="L892" s="64"/>
      <c r="M892" s="173"/>
      <c r="R892" s="22"/>
    </row>
    <row r="893" spans="3:18" ht="13">
      <c r="C893" s="172"/>
      <c r="D893" s="172"/>
      <c r="L893" s="64"/>
      <c r="M893" s="173"/>
      <c r="R893" s="22"/>
    </row>
    <row r="894" spans="3:18" ht="13">
      <c r="C894" s="172"/>
      <c r="D894" s="172"/>
      <c r="L894" s="64"/>
      <c r="M894" s="173"/>
      <c r="R894" s="22"/>
    </row>
    <row r="895" spans="3:18" ht="13">
      <c r="C895" s="172"/>
      <c r="D895" s="172"/>
      <c r="L895" s="64"/>
      <c r="M895" s="173"/>
      <c r="R895" s="22"/>
    </row>
    <row r="896" spans="3:18" ht="13">
      <c r="C896" s="172"/>
      <c r="D896" s="172"/>
      <c r="L896" s="64"/>
      <c r="M896" s="173"/>
      <c r="R896" s="22"/>
    </row>
    <row r="897" spans="3:18" ht="13">
      <c r="C897" s="172"/>
      <c r="D897" s="172"/>
      <c r="L897" s="64"/>
      <c r="M897" s="173"/>
      <c r="R897" s="22"/>
    </row>
    <row r="898" spans="3:18" ht="13">
      <c r="C898" s="172"/>
      <c r="D898" s="172"/>
      <c r="L898" s="64"/>
      <c r="M898" s="173"/>
      <c r="R898" s="22"/>
    </row>
    <row r="899" spans="3:18" ht="13">
      <c r="C899" s="172"/>
      <c r="D899" s="172"/>
      <c r="L899" s="64"/>
      <c r="M899" s="173"/>
      <c r="R899" s="22"/>
    </row>
    <row r="900" spans="3:18" ht="13">
      <c r="C900" s="172"/>
      <c r="D900" s="172"/>
      <c r="L900" s="64"/>
      <c r="M900" s="173"/>
      <c r="R900" s="22"/>
    </row>
    <row r="901" spans="3:18" ht="13">
      <c r="C901" s="172"/>
      <c r="D901" s="172"/>
      <c r="L901" s="64"/>
      <c r="M901" s="173"/>
      <c r="R901" s="22"/>
    </row>
    <row r="902" spans="3:18" ht="13">
      <c r="C902" s="172"/>
      <c r="D902" s="172"/>
      <c r="L902" s="64"/>
      <c r="M902" s="173"/>
      <c r="R902" s="22"/>
    </row>
    <row r="903" spans="3:18" ht="13">
      <c r="C903" s="172"/>
      <c r="D903" s="172"/>
      <c r="L903" s="64"/>
      <c r="M903" s="173"/>
      <c r="R903" s="22"/>
    </row>
    <row r="904" spans="3:18" ht="13">
      <c r="C904" s="172"/>
      <c r="D904" s="172"/>
      <c r="L904" s="64"/>
      <c r="M904" s="173"/>
      <c r="R904" s="22"/>
    </row>
    <row r="905" spans="3:18" ht="13">
      <c r="C905" s="172"/>
      <c r="D905" s="172"/>
      <c r="L905" s="64"/>
      <c r="M905" s="173"/>
      <c r="R905" s="22"/>
    </row>
    <row r="906" spans="3:18" ht="13">
      <c r="C906" s="172"/>
      <c r="D906" s="172"/>
      <c r="L906" s="64"/>
      <c r="M906" s="173"/>
      <c r="R906" s="22"/>
    </row>
    <row r="907" spans="3:18" ht="13">
      <c r="C907" s="172"/>
      <c r="D907" s="172"/>
      <c r="L907" s="64"/>
      <c r="M907" s="173"/>
      <c r="R907" s="22"/>
    </row>
    <row r="908" spans="3:18" ht="13">
      <c r="C908" s="172"/>
      <c r="D908" s="172"/>
      <c r="L908" s="64"/>
      <c r="M908" s="173"/>
      <c r="R908" s="22"/>
    </row>
    <row r="909" spans="3:18" ht="13">
      <c r="C909" s="172"/>
      <c r="D909" s="172"/>
      <c r="L909" s="64"/>
      <c r="M909" s="173"/>
      <c r="R909" s="22"/>
    </row>
    <row r="910" spans="3:18" ht="13">
      <c r="C910" s="172"/>
      <c r="D910" s="172"/>
      <c r="L910" s="64"/>
      <c r="M910" s="173"/>
      <c r="R910" s="22"/>
    </row>
    <row r="911" spans="3:18" ht="13">
      <c r="C911" s="172"/>
      <c r="D911" s="172"/>
      <c r="L911" s="64"/>
      <c r="M911" s="173"/>
      <c r="R911" s="22"/>
    </row>
    <row r="912" spans="3:18" ht="13">
      <c r="C912" s="172"/>
      <c r="D912" s="172"/>
      <c r="L912" s="64"/>
      <c r="M912" s="173"/>
      <c r="R912" s="22"/>
    </row>
    <row r="913" spans="3:18" ht="13">
      <c r="C913" s="172"/>
      <c r="D913" s="172"/>
      <c r="L913" s="64"/>
      <c r="M913" s="173"/>
      <c r="R913" s="22"/>
    </row>
    <row r="914" spans="3:18" ht="13">
      <c r="C914" s="172"/>
      <c r="D914" s="172"/>
      <c r="L914" s="64"/>
      <c r="M914" s="173"/>
      <c r="R914" s="22"/>
    </row>
    <row r="915" spans="3:18" ht="13">
      <c r="C915" s="172"/>
      <c r="D915" s="172"/>
      <c r="L915" s="64"/>
      <c r="M915" s="173"/>
      <c r="R915" s="22"/>
    </row>
    <row r="916" spans="3:18" ht="13">
      <c r="C916" s="172"/>
      <c r="D916" s="172"/>
      <c r="L916" s="64"/>
      <c r="M916" s="173"/>
      <c r="R916" s="22"/>
    </row>
    <row r="917" spans="3:18" ht="13">
      <c r="C917" s="172"/>
      <c r="D917" s="172"/>
      <c r="L917" s="64"/>
      <c r="M917" s="173"/>
      <c r="R917" s="22"/>
    </row>
    <row r="918" spans="3:18" ht="13">
      <c r="C918" s="172"/>
      <c r="D918" s="172"/>
      <c r="L918" s="64"/>
      <c r="M918" s="173"/>
      <c r="R918" s="22"/>
    </row>
    <row r="919" spans="3:18" ht="13">
      <c r="C919" s="172"/>
      <c r="D919" s="172"/>
      <c r="L919" s="64"/>
      <c r="M919" s="173"/>
      <c r="R919" s="22"/>
    </row>
    <row r="920" spans="3:18" ht="13">
      <c r="C920" s="172"/>
      <c r="D920" s="172"/>
      <c r="L920" s="64"/>
      <c r="M920" s="173"/>
      <c r="R920" s="22"/>
    </row>
    <row r="921" spans="3:18" ht="13">
      <c r="C921" s="172"/>
      <c r="D921" s="172"/>
      <c r="L921" s="64"/>
      <c r="M921" s="173"/>
      <c r="R921" s="22"/>
    </row>
    <row r="922" spans="3:18" ht="13">
      <c r="C922" s="172"/>
      <c r="D922" s="172"/>
      <c r="L922" s="64"/>
      <c r="M922" s="173"/>
      <c r="R922" s="22"/>
    </row>
    <row r="923" spans="3:18" ht="13">
      <c r="C923" s="172"/>
      <c r="D923" s="172"/>
      <c r="L923" s="64"/>
      <c r="M923" s="173"/>
      <c r="R923" s="22"/>
    </row>
    <row r="924" spans="3:18" ht="13">
      <c r="C924" s="172"/>
      <c r="D924" s="172"/>
      <c r="L924" s="64"/>
      <c r="M924" s="173"/>
      <c r="R924" s="22"/>
    </row>
    <row r="925" spans="3:18" ht="13">
      <c r="C925" s="172"/>
      <c r="D925" s="172"/>
      <c r="L925" s="64"/>
      <c r="M925" s="173"/>
      <c r="R925" s="22"/>
    </row>
    <row r="926" spans="3:18" ht="13">
      <c r="C926" s="172"/>
      <c r="D926" s="172"/>
      <c r="L926" s="64"/>
      <c r="M926" s="173"/>
      <c r="R926" s="22"/>
    </row>
    <row r="927" spans="3:18" ht="13">
      <c r="C927" s="172"/>
      <c r="D927" s="172"/>
      <c r="L927" s="64"/>
      <c r="M927" s="173"/>
      <c r="R927" s="22"/>
    </row>
    <row r="928" spans="3:18" ht="13">
      <c r="C928" s="172"/>
      <c r="D928" s="172"/>
      <c r="L928" s="64"/>
      <c r="M928" s="173"/>
      <c r="R928" s="22"/>
    </row>
    <row r="929" spans="3:18" ht="13">
      <c r="C929" s="172"/>
      <c r="D929" s="172"/>
      <c r="L929" s="64"/>
      <c r="M929" s="173"/>
      <c r="R929" s="22"/>
    </row>
    <row r="930" spans="3:18" ht="13">
      <c r="C930" s="172"/>
      <c r="D930" s="172"/>
      <c r="L930" s="64"/>
      <c r="M930" s="173"/>
      <c r="R930" s="22"/>
    </row>
    <row r="931" spans="3:18" ht="13">
      <c r="C931" s="172"/>
      <c r="D931" s="172"/>
      <c r="L931" s="64"/>
      <c r="M931" s="173"/>
      <c r="R931" s="22"/>
    </row>
    <row r="932" spans="3:18" ht="13">
      <c r="C932" s="172"/>
      <c r="D932" s="172"/>
      <c r="L932" s="64"/>
      <c r="M932" s="173"/>
      <c r="R932" s="22"/>
    </row>
    <row r="933" spans="3:18" ht="13">
      <c r="C933" s="172"/>
      <c r="D933" s="172"/>
      <c r="L933" s="64"/>
      <c r="M933" s="173"/>
      <c r="R933" s="22"/>
    </row>
    <row r="934" spans="3:18" ht="13">
      <c r="C934" s="172"/>
      <c r="D934" s="172"/>
      <c r="L934" s="64"/>
      <c r="M934" s="173"/>
      <c r="R934" s="22"/>
    </row>
    <row r="935" spans="3:18" ht="13">
      <c r="C935" s="172"/>
      <c r="D935" s="172"/>
      <c r="L935" s="64"/>
      <c r="M935" s="173"/>
      <c r="R935" s="22"/>
    </row>
    <row r="936" spans="3:18" ht="13">
      <c r="C936" s="172"/>
      <c r="D936" s="172"/>
      <c r="L936" s="64"/>
      <c r="M936" s="173"/>
      <c r="R936" s="22"/>
    </row>
    <row r="937" spans="3:18" ht="13">
      <c r="C937" s="172"/>
      <c r="D937" s="172"/>
      <c r="L937" s="64"/>
      <c r="M937" s="173"/>
      <c r="R937" s="22"/>
    </row>
    <row r="938" spans="3:18" ht="13">
      <c r="C938" s="172"/>
      <c r="D938" s="172"/>
      <c r="L938" s="64"/>
      <c r="M938" s="173"/>
      <c r="R938" s="22"/>
    </row>
    <row r="939" spans="3:18" ht="13">
      <c r="C939" s="172"/>
      <c r="D939" s="172"/>
      <c r="L939" s="64"/>
      <c r="M939" s="173"/>
      <c r="R939" s="22"/>
    </row>
    <row r="940" spans="3:18" ht="13">
      <c r="C940" s="172"/>
      <c r="D940" s="172"/>
      <c r="L940" s="64"/>
      <c r="M940" s="173"/>
      <c r="R940" s="22"/>
    </row>
    <row r="941" spans="3:18" ht="13">
      <c r="C941" s="172"/>
      <c r="D941" s="172"/>
      <c r="L941" s="64"/>
      <c r="M941" s="173"/>
      <c r="R941" s="22"/>
    </row>
    <row r="942" spans="3:18" ht="13">
      <c r="C942" s="172"/>
      <c r="D942" s="172"/>
      <c r="L942" s="64"/>
      <c r="M942" s="173"/>
      <c r="R942" s="22"/>
    </row>
    <row r="943" spans="3:18" ht="13">
      <c r="C943" s="172"/>
      <c r="D943" s="172"/>
      <c r="L943" s="64"/>
      <c r="M943" s="173"/>
      <c r="R943" s="22"/>
    </row>
    <row r="944" spans="3:18" ht="13">
      <c r="C944" s="172"/>
      <c r="D944" s="172"/>
      <c r="L944" s="64"/>
      <c r="M944" s="173"/>
      <c r="R944" s="22"/>
    </row>
    <row r="945" spans="3:18" ht="13">
      <c r="C945" s="172"/>
      <c r="D945" s="172"/>
      <c r="L945" s="64"/>
      <c r="M945" s="173"/>
      <c r="R945" s="22"/>
    </row>
    <row r="946" spans="3:18" ht="13">
      <c r="C946" s="172"/>
      <c r="D946" s="172"/>
      <c r="L946" s="64"/>
      <c r="M946" s="173"/>
      <c r="R946" s="22"/>
    </row>
    <row r="947" spans="3:18" ht="13">
      <c r="C947" s="172"/>
      <c r="D947" s="172"/>
      <c r="L947" s="64"/>
      <c r="M947" s="173"/>
      <c r="R947" s="22"/>
    </row>
    <row r="948" spans="3:18" ht="13">
      <c r="C948" s="172"/>
      <c r="D948" s="172"/>
      <c r="L948" s="64"/>
      <c r="M948" s="173"/>
      <c r="R948" s="22"/>
    </row>
    <row r="949" spans="3:18" ht="13">
      <c r="C949" s="172"/>
      <c r="D949" s="172"/>
      <c r="L949" s="64"/>
      <c r="M949" s="173"/>
      <c r="R949" s="22"/>
    </row>
    <row r="950" spans="3:18" ht="13">
      <c r="C950" s="172"/>
      <c r="D950" s="172"/>
      <c r="L950" s="64"/>
      <c r="M950" s="173"/>
      <c r="R950" s="22"/>
    </row>
    <row r="951" spans="3:18" ht="13">
      <c r="C951" s="172"/>
      <c r="D951" s="172"/>
      <c r="L951" s="64"/>
      <c r="M951" s="173"/>
      <c r="R951" s="22"/>
    </row>
    <row r="952" spans="3:18" ht="13">
      <c r="C952" s="172"/>
      <c r="D952" s="172"/>
      <c r="L952" s="64"/>
      <c r="M952" s="173"/>
      <c r="R952" s="22"/>
    </row>
    <row r="953" spans="3:18" ht="13">
      <c r="C953" s="172"/>
      <c r="D953" s="172"/>
      <c r="L953" s="64"/>
      <c r="M953" s="173"/>
      <c r="R953" s="22"/>
    </row>
    <row r="954" spans="3:18" ht="13">
      <c r="C954" s="172"/>
      <c r="D954" s="172"/>
      <c r="L954" s="64"/>
      <c r="M954" s="173"/>
      <c r="R954" s="22"/>
    </row>
    <row r="955" spans="3:18" ht="13">
      <c r="C955" s="172"/>
      <c r="D955" s="172"/>
      <c r="L955" s="64"/>
      <c r="M955" s="173"/>
      <c r="R955" s="22"/>
    </row>
    <row r="956" spans="3:18" ht="13">
      <c r="C956" s="172"/>
      <c r="D956" s="172"/>
      <c r="L956" s="64"/>
      <c r="M956" s="173"/>
      <c r="R956" s="22"/>
    </row>
    <row r="957" spans="3:18" ht="13">
      <c r="C957" s="172"/>
      <c r="D957" s="172"/>
      <c r="L957" s="64"/>
      <c r="M957" s="173"/>
      <c r="R957" s="22"/>
    </row>
    <row r="958" spans="3:18" ht="13">
      <c r="C958" s="172"/>
      <c r="D958" s="172"/>
      <c r="L958" s="64"/>
      <c r="M958" s="173"/>
      <c r="R958" s="22"/>
    </row>
    <row r="959" spans="3:18" ht="13">
      <c r="C959" s="172"/>
      <c r="D959" s="172"/>
      <c r="L959" s="64"/>
      <c r="M959" s="173"/>
      <c r="R959" s="22"/>
    </row>
    <row r="960" spans="3:18" ht="13">
      <c r="C960" s="172"/>
      <c r="D960" s="172"/>
      <c r="L960" s="64"/>
      <c r="M960" s="173"/>
      <c r="R960" s="22"/>
    </row>
    <row r="961" spans="3:18" ht="13">
      <c r="C961" s="172"/>
      <c r="D961" s="172"/>
      <c r="L961" s="64"/>
      <c r="M961" s="173"/>
      <c r="R961" s="22"/>
    </row>
    <row r="962" spans="3:18" ht="13">
      <c r="C962" s="172"/>
      <c r="D962" s="172"/>
      <c r="L962" s="64"/>
      <c r="M962" s="173"/>
      <c r="R962" s="22"/>
    </row>
    <row r="963" spans="3:18" ht="13">
      <c r="C963" s="172"/>
      <c r="D963" s="172"/>
      <c r="L963" s="64"/>
      <c r="M963" s="173"/>
      <c r="R963" s="22"/>
    </row>
    <row r="964" spans="3:18" ht="13">
      <c r="C964" s="172"/>
      <c r="D964" s="172"/>
      <c r="L964" s="64"/>
      <c r="M964" s="173"/>
      <c r="R964" s="22"/>
    </row>
    <row r="965" spans="3:18" ht="13">
      <c r="C965" s="172"/>
      <c r="D965" s="172"/>
      <c r="L965" s="64"/>
      <c r="M965" s="173"/>
      <c r="R965" s="22"/>
    </row>
    <row r="966" spans="3:18" ht="13">
      <c r="C966" s="172"/>
      <c r="D966" s="172"/>
      <c r="L966" s="64"/>
      <c r="M966" s="173"/>
      <c r="R966" s="22"/>
    </row>
    <row r="967" spans="3:18" ht="13">
      <c r="C967" s="172"/>
      <c r="D967" s="172"/>
      <c r="L967" s="64"/>
      <c r="M967" s="173"/>
      <c r="R967" s="22"/>
    </row>
    <row r="968" spans="3:18" ht="13">
      <c r="C968" s="172"/>
      <c r="D968" s="172"/>
      <c r="L968" s="64"/>
      <c r="M968" s="173"/>
      <c r="R968" s="22"/>
    </row>
    <row r="969" spans="3:18" ht="13">
      <c r="C969" s="172"/>
      <c r="D969" s="172"/>
      <c r="L969" s="64"/>
      <c r="M969" s="173"/>
      <c r="R969" s="22"/>
    </row>
    <row r="970" spans="3:18" ht="13">
      <c r="C970" s="172"/>
      <c r="D970" s="172"/>
      <c r="L970" s="64"/>
      <c r="M970" s="173"/>
      <c r="R970" s="22"/>
    </row>
    <row r="971" spans="3:18" ht="13">
      <c r="C971" s="172"/>
      <c r="D971" s="172"/>
      <c r="L971" s="64"/>
      <c r="M971" s="173"/>
      <c r="R971" s="22"/>
    </row>
    <row r="972" spans="3:18" ht="13">
      <c r="C972" s="172"/>
      <c r="D972" s="172"/>
      <c r="L972" s="64"/>
      <c r="M972" s="173"/>
      <c r="R972" s="22"/>
    </row>
    <row r="973" spans="3:18" ht="13">
      <c r="C973" s="172"/>
      <c r="D973" s="172"/>
      <c r="L973" s="64"/>
      <c r="M973" s="173"/>
      <c r="R973" s="22"/>
    </row>
    <row r="974" spans="3:18" ht="13">
      <c r="C974" s="172"/>
      <c r="D974" s="172"/>
      <c r="L974" s="64"/>
      <c r="M974" s="173"/>
      <c r="R974" s="22"/>
    </row>
    <row r="975" spans="3:18" ht="13">
      <c r="C975" s="172"/>
      <c r="D975" s="172"/>
      <c r="L975" s="64"/>
      <c r="M975" s="173"/>
      <c r="R975" s="22"/>
    </row>
    <row r="976" spans="3:18" ht="13">
      <c r="C976" s="172"/>
      <c r="D976" s="172"/>
      <c r="L976" s="64"/>
      <c r="M976" s="173"/>
      <c r="R976" s="22"/>
    </row>
    <row r="977" spans="3:18" ht="13">
      <c r="C977" s="172"/>
      <c r="D977" s="172"/>
      <c r="L977" s="64"/>
      <c r="M977" s="173"/>
      <c r="R977" s="22"/>
    </row>
    <row r="978" spans="3:18" ht="13">
      <c r="C978" s="172"/>
      <c r="D978" s="172"/>
      <c r="L978" s="64"/>
      <c r="M978" s="173"/>
      <c r="R978" s="22"/>
    </row>
    <row r="979" spans="3:18" ht="13">
      <c r="C979" s="172"/>
      <c r="D979" s="172"/>
      <c r="L979" s="64"/>
      <c r="M979" s="173"/>
      <c r="R979" s="22"/>
    </row>
    <row r="980" spans="3:18" ht="13">
      <c r="C980" s="172"/>
      <c r="D980" s="172"/>
      <c r="L980" s="64"/>
      <c r="M980" s="173"/>
      <c r="R980" s="22"/>
    </row>
    <row r="981" spans="3:18" ht="13">
      <c r="C981" s="172"/>
      <c r="D981" s="172"/>
      <c r="L981" s="64"/>
      <c r="M981" s="173"/>
      <c r="R981" s="22"/>
    </row>
    <row r="982" spans="3:18" ht="13">
      <c r="C982" s="172"/>
      <c r="D982" s="172"/>
      <c r="L982" s="64"/>
      <c r="M982" s="173"/>
      <c r="R982" s="22"/>
    </row>
    <row r="983" spans="3:18" ht="13">
      <c r="C983" s="172"/>
      <c r="D983" s="172"/>
      <c r="L983" s="64"/>
      <c r="M983" s="173"/>
      <c r="R983" s="22"/>
    </row>
    <row r="984" spans="3:18" ht="13">
      <c r="C984" s="172"/>
      <c r="D984" s="172"/>
      <c r="L984" s="64"/>
      <c r="M984" s="173"/>
      <c r="R984" s="22"/>
    </row>
    <row r="985" spans="3:18" ht="13">
      <c r="C985" s="172"/>
      <c r="D985" s="172"/>
      <c r="L985" s="64"/>
      <c r="M985" s="173"/>
      <c r="R985" s="22"/>
    </row>
    <row r="986" spans="3:18" ht="13">
      <c r="C986" s="172"/>
      <c r="D986" s="172"/>
      <c r="L986" s="64"/>
      <c r="M986" s="173"/>
      <c r="R986" s="22"/>
    </row>
    <row r="987" spans="3:18" ht="13">
      <c r="C987" s="172"/>
      <c r="D987" s="172"/>
      <c r="L987" s="64"/>
      <c r="M987" s="173"/>
      <c r="R987" s="22"/>
    </row>
    <row r="988" spans="3:18" ht="13">
      <c r="C988" s="172"/>
      <c r="D988" s="172"/>
      <c r="L988" s="64"/>
      <c r="M988" s="173"/>
      <c r="R988" s="22"/>
    </row>
    <row r="989" spans="3:18" ht="13">
      <c r="C989" s="172"/>
      <c r="D989" s="172"/>
      <c r="L989" s="64"/>
      <c r="M989" s="173"/>
      <c r="R989" s="22"/>
    </row>
    <row r="990" spans="3:18" ht="13">
      <c r="C990" s="172"/>
      <c r="D990" s="172"/>
      <c r="L990" s="64"/>
      <c r="M990" s="173"/>
      <c r="R990" s="22"/>
    </row>
    <row r="991" spans="3:18" ht="13">
      <c r="C991" s="172"/>
      <c r="D991" s="172"/>
      <c r="L991" s="64"/>
      <c r="M991" s="173"/>
      <c r="R991" s="22"/>
    </row>
    <row r="992" spans="3:18" ht="13">
      <c r="C992" s="172"/>
      <c r="D992" s="172"/>
      <c r="L992" s="64"/>
      <c r="M992" s="173"/>
      <c r="R992" s="22"/>
    </row>
    <row r="993" spans="3:18" ht="13">
      <c r="C993" s="172"/>
      <c r="D993" s="172"/>
      <c r="L993" s="64"/>
      <c r="M993" s="173"/>
      <c r="R993" s="22"/>
    </row>
    <row r="994" spans="3:18" ht="13">
      <c r="C994" s="172"/>
      <c r="D994" s="172"/>
      <c r="L994" s="64"/>
      <c r="M994" s="173"/>
      <c r="R994" s="22"/>
    </row>
    <row r="995" spans="3:18" ht="13">
      <c r="C995" s="172"/>
      <c r="D995" s="172"/>
      <c r="L995" s="64"/>
      <c r="M995" s="173"/>
      <c r="R995" s="22"/>
    </row>
    <row r="996" spans="3:18" ht="13">
      <c r="C996" s="172"/>
      <c r="D996" s="172"/>
      <c r="L996" s="64"/>
      <c r="M996" s="173"/>
      <c r="R996" s="22"/>
    </row>
    <row r="997" spans="3:18" ht="13">
      <c r="C997" s="172"/>
      <c r="D997" s="172"/>
      <c r="L997" s="64"/>
      <c r="M997" s="173"/>
      <c r="R997" s="22"/>
    </row>
    <row r="998" spans="3:18" ht="13">
      <c r="C998" s="172"/>
      <c r="D998" s="172"/>
      <c r="L998" s="64"/>
      <c r="M998" s="173"/>
      <c r="R998" s="22"/>
    </row>
    <row r="999" spans="3:18" ht="13">
      <c r="C999" s="172"/>
      <c r="D999" s="172"/>
      <c r="L999" s="64"/>
      <c r="M999" s="173"/>
      <c r="R999" s="22"/>
    </row>
    <row r="1000" spans="3:18" ht="13">
      <c r="C1000" s="172"/>
      <c r="D1000" s="172"/>
      <c r="L1000" s="64"/>
      <c r="M1000" s="173"/>
      <c r="R1000" s="22"/>
    </row>
    <row r="1001" spans="3:18" ht="13">
      <c r="C1001" s="172"/>
      <c r="D1001" s="172"/>
      <c r="L1001" s="64"/>
      <c r="M1001" s="173"/>
      <c r="R1001" s="22"/>
    </row>
    <row r="1002" spans="3:18" ht="13">
      <c r="C1002" s="172"/>
      <c r="D1002" s="172"/>
      <c r="L1002" s="64"/>
      <c r="M1002" s="173"/>
      <c r="R1002" s="22"/>
    </row>
    <row r="1003" spans="3:18" ht="13">
      <c r="C1003" s="172"/>
      <c r="D1003" s="172"/>
      <c r="L1003" s="64"/>
      <c r="M1003" s="173"/>
      <c r="R1003" s="22"/>
    </row>
    <row r="1004" spans="3:18" ht="13">
      <c r="C1004" s="172"/>
      <c r="D1004" s="172"/>
      <c r="L1004" s="64"/>
      <c r="M1004" s="173"/>
      <c r="R1004" s="22"/>
    </row>
    <row r="1005" spans="3:18" ht="13">
      <c r="C1005" s="172"/>
      <c r="D1005" s="172"/>
      <c r="L1005" s="64"/>
      <c r="M1005" s="173"/>
      <c r="R1005" s="22"/>
    </row>
    <row r="1006" spans="3:18" ht="13">
      <c r="C1006" s="172"/>
      <c r="D1006" s="172"/>
      <c r="L1006" s="64"/>
      <c r="M1006" s="173"/>
      <c r="R1006" s="22"/>
    </row>
    <row r="1007" spans="3:18" ht="13">
      <c r="C1007" s="172"/>
      <c r="D1007" s="172"/>
      <c r="L1007" s="64"/>
      <c r="M1007" s="173"/>
      <c r="R1007" s="22"/>
    </row>
    <row r="1008" spans="3:18" ht="13">
      <c r="C1008" s="172"/>
      <c r="D1008" s="172"/>
      <c r="L1008" s="64"/>
      <c r="M1008" s="173"/>
      <c r="R1008" s="22"/>
    </row>
    <row r="1009" spans="3:18" ht="13">
      <c r="C1009" s="172"/>
      <c r="D1009" s="172"/>
      <c r="L1009" s="64"/>
      <c r="M1009" s="173"/>
      <c r="R1009" s="22"/>
    </row>
    <row r="1010" spans="3:18" ht="13">
      <c r="C1010" s="172"/>
      <c r="D1010" s="172"/>
      <c r="L1010" s="64"/>
      <c r="M1010" s="173"/>
      <c r="R1010" s="22"/>
    </row>
    <row r="1011" spans="3:18" ht="13">
      <c r="C1011" s="172"/>
      <c r="D1011" s="172"/>
      <c r="L1011" s="64"/>
      <c r="M1011" s="173"/>
      <c r="R1011" s="22"/>
    </row>
    <row r="1012" spans="3:18" ht="13">
      <c r="C1012" s="172"/>
      <c r="D1012" s="172"/>
      <c r="L1012" s="64"/>
      <c r="M1012" s="173"/>
      <c r="R1012" s="22"/>
    </row>
    <row r="1013" spans="3:18" ht="13">
      <c r="C1013" s="172"/>
      <c r="D1013" s="172"/>
      <c r="L1013" s="64"/>
      <c r="M1013" s="173"/>
      <c r="R1013" s="22"/>
    </row>
    <row r="1014" spans="3:18" ht="13">
      <c r="C1014" s="172"/>
      <c r="D1014" s="172"/>
      <c r="L1014" s="64"/>
      <c r="M1014" s="173"/>
      <c r="R1014" s="22"/>
    </row>
    <row r="1015" spans="3:18" ht="13">
      <c r="C1015" s="172"/>
      <c r="D1015" s="172"/>
      <c r="L1015" s="64"/>
      <c r="M1015" s="173"/>
      <c r="R1015" s="22"/>
    </row>
    <row r="1016" spans="3:18" ht="13">
      <c r="C1016" s="172"/>
      <c r="D1016" s="172"/>
      <c r="L1016" s="64"/>
      <c r="M1016" s="173"/>
      <c r="R1016" s="22"/>
    </row>
    <row r="1017" spans="3:18" ht="13">
      <c r="C1017" s="172"/>
      <c r="D1017" s="172"/>
      <c r="L1017" s="64"/>
      <c r="M1017" s="173"/>
      <c r="R1017" s="22"/>
    </row>
    <row r="1018" spans="3:18" ht="13">
      <c r="C1018" s="172"/>
      <c r="D1018" s="172"/>
      <c r="L1018" s="64"/>
      <c r="M1018" s="173"/>
      <c r="R1018" s="22"/>
    </row>
    <row r="1019" spans="3:18" ht="13">
      <c r="C1019" s="172"/>
      <c r="D1019" s="172"/>
      <c r="L1019" s="64"/>
      <c r="M1019" s="173"/>
      <c r="R1019" s="22"/>
    </row>
    <row r="1020" spans="3:18" ht="13">
      <c r="C1020" s="172"/>
      <c r="D1020" s="172"/>
      <c r="L1020" s="64"/>
      <c r="M1020" s="173"/>
      <c r="R1020" s="22"/>
    </row>
    <row r="1021" spans="3:18" ht="13">
      <c r="C1021" s="172"/>
      <c r="D1021" s="172"/>
      <c r="L1021" s="64"/>
      <c r="M1021" s="173"/>
      <c r="R1021" s="22"/>
    </row>
    <row r="1022" spans="3:18" ht="13">
      <c r="C1022" s="172"/>
      <c r="D1022" s="172"/>
      <c r="L1022" s="64"/>
      <c r="M1022" s="173"/>
      <c r="R1022" s="22"/>
    </row>
    <row r="1023" spans="3:18" ht="13">
      <c r="C1023" s="172"/>
      <c r="D1023" s="172"/>
      <c r="L1023" s="64"/>
      <c r="M1023" s="173"/>
      <c r="R1023" s="22"/>
    </row>
    <row r="1024" spans="3:18" ht="13">
      <c r="C1024" s="172"/>
      <c r="D1024" s="172"/>
      <c r="L1024" s="64"/>
      <c r="M1024" s="173"/>
      <c r="R1024" s="22"/>
    </row>
    <row r="1025" spans="3:18" ht="13">
      <c r="C1025" s="172"/>
      <c r="D1025" s="172"/>
      <c r="L1025" s="64"/>
      <c r="M1025" s="173"/>
      <c r="R1025" s="22"/>
    </row>
    <row r="1026" spans="3:18" ht="13">
      <c r="C1026" s="172"/>
      <c r="D1026" s="172"/>
      <c r="L1026" s="64"/>
      <c r="M1026" s="173"/>
      <c r="R1026" s="22"/>
    </row>
    <row r="1027" spans="3:18" ht="13">
      <c r="C1027" s="172"/>
      <c r="D1027" s="172"/>
      <c r="L1027" s="64"/>
      <c r="M1027" s="173"/>
      <c r="R1027" s="22"/>
    </row>
    <row r="1028" spans="3:18" ht="13">
      <c r="C1028" s="172"/>
      <c r="D1028" s="172"/>
      <c r="L1028" s="64"/>
      <c r="M1028" s="173"/>
      <c r="R1028" s="22"/>
    </row>
    <row r="1029" spans="3:18" ht="13">
      <c r="C1029" s="172"/>
      <c r="D1029" s="172"/>
      <c r="L1029" s="64"/>
      <c r="M1029" s="173"/>
      <c r="R1029" s="22"/>
    </row>
    <row r="1030" spans="3:18" ht="13">
      <c r="C1030" s="172"/>
      <c r="D1030" s="172"/>
      <c r="L1030" s="64"/>
      <c r="M1030" s="173"/>
      <c r="R1030" s="22"/>
    </row>
    <row r="1031" spans="3:18" ht="13">
      <c r="C1031" s="172"/>
      <c r="D1031" s="172"/>
      <c r="L1031" s="64"/>
      <c r="M1031" s="173"/>
      <c r="R1031" s="22"/>
    </row>
    <row r="1032" spans="3:18" ht="13">
      <c r="C1032" s="172"/>
      <c r="D1032" s="172"/>
      <c r="L1032" s="64"/>
      <c r="M1032" s="173"/>
      <c r="R1032" s="22"/>
    </row>
    <row r="1033" spans="3:18" ht="13">
      <c r="C1033" s="172"/>
      <c r="D1033" s="172"/>
      <c r="L1033" s="64"/>
      <c r="M1033" s="173"/>
      <c r="R1033" s="22"/>
    </row>
    <row r="1034" spans="3:18" ht="13">
      <c r="C1034" s="172"/>
      <c r="D1034" s="172"/>
      <c r="L1034" s="64"/>
      <c r="M1034" s="173"/>
      <c r="R1034" s="22"/>
    </row>
    <row r="1035" spans="3:18" ht="13">
      <c r="C1035" s="172"/>
      <c r="D1035" s="172"/>
      <c r="L1035" s="64"/>
      <c r="M1035" s="173"/>
      <c r="R1035" s="22"/>
    </row>
    <row r="1036" spans="3:18" ht="13">
      <c r="C1036" s="172"/>
      <c r="D1036" s="172"/>
      <c r="L1036" s="64"/>
      <c r="M1036" s="173"/>
      <c r="R1036" s="22"/>
    </row>
    <row r="1037" spans="3:18" ht="13">
      <c r="C1037" s="172"/>
      <c r="D1037" s="172"/>
      <c r="L1037" s="64"/>
      <c r="M1037" s="173"/>
      <c r="R1037" s="22"/>
    </row>
    <row r="1038" spans="3:18" ht="13">
      <c r="C1038" s="172"/>
      <c r="D1038" s="172"/>
      <c r="L1038" s="64"/>
      <c r="M1038" s="173"/>
      <c r="R1038" s="22"/>
    </row>
    <row r="1039" spans="3:18" ht="13">
      <c r="C1039" s="172"/>
      <c r="D1039" s="172"/>
      <c r="L1039" s="64"/>
      <c r="M1039" s="173"/>
      <c r="R1039" s="22"/>
    </row>
    <row r="1040" spans="3:18" ht="13">
      <c r="C1040" s="172"/>
      <c r="D1040" s="172"/>
      <c r="L1040" s="64"/>
      <c r="M1040" s="173"/>
      <c r="R1040" s="22"/>
    </row>
    <row r="1041" spans="3:18" ht="13">
      <c r="C1041" s="172"/>
      <c r="D1041" s="172"/>
      <c r="L1041" s="64"/>
      <c r="M1041" s="173"/>
      <c r="R1041" s="22"/>
    </row>
    <row r="1042" spans="3:18" ht="13">
      <c r="C1042" s="172"/>
      <c r="D1042" s="172"/>
      <c r="L1042" s="64"/>
      <c r="M1042" s="173"/>
      <c r="R1042" s="22"/>
    </row>
    <row r="1043" spans="3:18" ht="13">
      <c r="C1043" s="172"/>
      <c r="D1043" s="172"/>
      <c r="L1043" s="64"/>
      <c r="M1043" s="173"/>
      <c r="R1043" s="22"/>
    </row>
    <row r="1044" spans="3:18" ht="13">
      <c r="C1044" s="172"/>
      <c r="D1044" s="172"/>
      <c r="L1044" s="64"/>
      <c r="M1044" s="173"/>
      <c r="R1044" s="22"/>
    </row>
    <row r="1045" spans="3:18" ht="13">
      <c r="C1045" s="172"/>
      <c r="D1045" s="172"/>
      <c r="L1045" s="64"/>
      <c r="M1045" s="173"/>
      <c r="R1045" s="22"/>
    </row>
    <row r="1046" spans="3:18" ht="13">
      <c r="C1046" s="172"/>
      <c r="D1046" s="172"/>
      <c r="L1046" s="64"/>
      <c r="M1046" s="173"/>
      <c r="R1046" s="22"/>
    </row>
    <row r="1047" spans="3:18" ht="13">
      <c r="C1047" s="172"/>
      <c r="D1047" s="172"/>
      <c r="L1047" s="64"/>
      <c r="M1047" s="173"/>
      <c r="R1047" s="22"/>
    </row>
    <row r="1048" spans="3:18" ht="13">
      <c r="C1048" s="172"/>
      <c r="D1048" s="172"/>
      <c r="L1048" s="64"/>
      <c r="M1048" s="173"/>
      <c r="R1048" s="22"/>
    </row>
    <row r="1049" spans="3:18" ht="13">
      <c r="C1049" s="172"/>
      <c r="D1049" s="172"/>
      <c r="L1049" s="64"/>
      <c r="M1049" s="173"/>
      <c r="R1049" s="22"/>
    </row>
    <row r="1050" spans="3:18" ht="13">
      <c r="C1050" s="172"/>
      <c r="D1050" s="172"/>
      <c r="L1050" s="64"/>
      <c r="M1050" s="173"/>
      <c r="R1050" s="22"/>
    </row>
    <row r="1051" spans="3:18" ht="13">
      <c r="C1051" s="172"/>
      <c r="D1051" s="172"/>
      <c r="L1051" s="64"/>
      <c r="M1051" s="173"/>
      <c r="R1051" s="22"/>
    </row>
    <row r="1052" spans="3:18" ht="13">
      <c r="C1052" s="172"/>
      <c r="D1052" s="172"/>
      <c r="L1052" s="64"/>
      <c r="M1052" s="173"/>
      <c r="R1052" s="22"/>
    </row>
    <row r="1053" spans="3:18" ht="13">
      <c r="C1053" s="172"/>
      <c r="D1053" s="172"/>
      <c r="L1053" s="64"/>
      <c r="M1053" s="173"/>
      <c r="R1053" s="22"/>
    </row>
    <row r="1054" spans="3:18" ht="13">
      <c r="C1054" s="172"/>
      <c r="D1054" s="172"/>
      <c r="L1054" s="64"/>
      <c r="M1054" s="173"/>
      <c r="R1054" s="22"/>
    </row>
    <row r="1055" spans="3:18" ht="13">
      <c r="C1055" s="172"/>
      <c r="D1055" s="172"/>
      <c r="L1055" s="64"/>
      <c r="M1055" s="173"/>
      <c r="R1055" s="22"/>
    </row>
    <row r="1056" spans="3:18" ht="13">
      <c r="C1056" s="172"/>
      <c r="D1056" s="172"/>
      <c r="L1056" s="64"/>
      <c r="M1056" s="173"/>
      <c r="R1056" s="22"/>
    </row>
    <row r="1057" spans="3:18" ht="13">
      <c r="C1057" s="172"/>
      <c r="D1057" s="172"/>
      <c r="L1057" s="64"/>
      <c r="M1057" s="173"/>
      <c r="R1057" s="22"/>
    </row>
    <row r="1058" spans="3:18" ht="13">
      <c r="C1058" s="172"/>
      <c r="D1058" s="172"/>
      <c r="L1058" s="64"/>
      <c r="M1058" s="173"/>
      <c r="R1058" s="22"/>
    </row>
    <row r="1059" spans="3:18" ht="13">
      <c r="C1059" s="172"/>
      <c r="D1059" s="172"/>
      <c r="L1059" s="64"/>
      <c r="M1059" s="173"/>
      <c r="R1059" s="22"/>
    </row>
    <row r="1060" spans="3:18" ht="13">
      <c r="C1060" s="172"/>
      <c r="D1060" s="172"/>
      <c r="L1060" s="64"/>
      <c r="M1060" s="173"/>
      <c r="R1060" s="22"/>
    </row>
    <row r="1061" spans="3:18" ht="13">
      <c r="C1061" s="172"/>
      <c r="D1061" s="172"/>
      <c r="L1061" s="64"/>
      <c r="M1061" s="173"/>
      <c r="R1061" s="22"/>
    </row>
    <row r="1062" spans="3:18" ht="13">
      <c r="C1062" s="172"/>
      <c r="D1062" s="172"/>
      <c r="L1062" s="64"/>
      <c r="M1062" s="173"/>
      <c r="R1062" s="22"/>
    </row>
    <row r="1063" spans="3:18" ht="13">
      <c r="C1063" s="172"/>
      <c r="D1063" s="172"/>
      <c r="L1063" s="64"/>
      <c r="M1063" s="173"/>
      <c r="R1063" s="22"/>
    </row>
    <row r="1064" spans="3:18" ht="13">
      <c r="C1064" s="172"/>
      <c r="D1064" s="172"/>
      <c r="L1064" s="64"/>
      <c r="M1064" s="173"/>
      <c r="R1064" s="22"/>
    </row>
    <row r="1065" spans="3:18" ht="13">
      <c r="C1065" s="172"/>
      <c r="D1065" s="172"/>
      <c r="L1065" s="64"/>
      <c r="M1065" s="173"/>
      <c r="R1065" s="22"/>
    </row>
    <row r="1066" spans="3:18" ht="13">
      <c r="C1066" s="172"/>
      <c r="D1066" s="172"/>
      <c r="L1066" s="64"/>
      <c r="M1066" s="173"/>
      <c r="R1066" s="22"/>
    </row>
    <row r="1067" spans="3:18" ht="13">
      <c r="C1067" s="172"/>
      <c r="D1067" s="172"/>
      <c r="L1067" s="64"/>
      <c r="M1067" s="173"/>
      <c r="R1067" s="22"/>
    </row>
    <row r="1068" spans="3:18" ht="13">
      <c r="C1068" s="172"/>
      <c r="D1068" s="172"/>
      <c r="L1068" s="64"/>
      <c r="M1068" s="173"/>
      <c r="R1068" s="22"/>
    </row>
    <row r="1069" spans="3:18" ht="13">
      <c r="C1069" s="172"/>
      <c r="D1069" s="172"/>
      <c r="L1069" s="64"/>
      <c r="M1069" s="173"/>
      <c r="R1069" s="22"/>
    </row>
    <row r="1070" spans="3:18" ht="13">
      <c r="C1070" s="172"/>
      <c r="D1070" s="172"/>
      <c r="L1070" s="64"/>
      <c r="M1070" s="173"/>
      <c r="R1070" s="22"/>
    </row>
    <row r="1071" spans="3:18" ht="13">
      <c r="C1071" s="172"/>
      <c r="D1071" s="172"/>
      <c r="L1071" s="64"/>
      <c r="M1071" s="173"/>
      <c r="R1071" s="22"/>
    </row>
    <row r="1072" spans="3:18" ht="13">
      <c r="C1072" s="172"/>
      <c r="D1072" s="172"/>
      <c r="L1072" s="64"/>
      <c r="M1072" s="173"/>
      <c r="R1072" s="22"/>
    </row>
    <row r="1073" spans="3:18" ht="13">
      <c r="C1073" s="172"/>
      <c r="D1073" s="172"/>
      <c r="L1073" s="64"/>
      <c r="M1073" s="173"/>
      <c r="R1073" s="22"/>
    </row>
    <row r="1074" spans="3:18" ht="13">
      <c r="C1074" s="172"/>
      <c r="D1074" s="172"/>
      <c r="L1074" s="64"/>
      <c r="M1074" s="173"/>
      <c r="R1074" s="22"/>
    </row>
    <row r="1075" spans="3:18" ht="13">
      <c r="C1075" s="172"/>
      <c r="D1075" s="172"/>
      <c r="L1075" s="64"/>
      <c r="M1075" s="173"/>
      <c r="R1075" s="22"/>
    </row>
    <row r="1076" spans="3:18" ht="13">
      <c r="C1076" s="172"/>
      <c r="D1076" s="172"/>
      <c r="L1076" s="64"/>
      <c r="M1076" s="173"/>
      <c r="R1076" s="22"/>
    </row>
    <row r="1077" spans="3:18" ht="13">
      <c r="C1077" s="172"/>
      <c r="D1077" s="172"/>
      <c r="L1077" s="64"/>
      <c r="M1077" s="173"/>
      <c r="R1077" s="22"/>
    </row>
    <row r="1078" spans="3:18" ht="13">
      <c r="C1078" s="172"/>
      <c r="D1078" s="172"/>
      <c r="L1078" s="64"/>
      <c r="M1078" s="173"/>
      <c r="R1078" s="22"/>
    </row>
    <row r="1079" spans="3:18" ht="13">
      <c r="C1079" s="172"/>
      <c r="D1079" s="172"/>
      <c r="L1079" s="64"/>
      <c r="M1079" s="173"/>
      <c r="R1079" s="22"/>
    </row>
    <row r="1080" spans="3:18" ht="13">
      <c r="C1080" s="172"/>
      <c r="D1080" s="172"/>
      <c r="L1080" s="64"/>
      <c r="M1080" s="173"/>
      <c r="R1080" s="22"/>
    </row>
    <row r="1081" spans="3:18" ht="13">
      <c r="C1081" s="172"/>
      <c r="D1081" s="172"/>
      <c r="L1081" s="64"/>
      <c r="M1081" s="173"/>
      <c r="R1081" s="22"/>
    </row>
    <row r="1082" spans="3:18" ht="13">
      <c r="C1082" s="172"/>
      <c r="D1082" s="172"/>
      <c r="L1082" s="64"/>
      <c r="M1082" s="173"/>
      <c r="R1082" s="22"/>
    </row>
    <row r="1083" spans="3:18" ht="13">
      <c r="C1083" s="172"/>
      <c r="D1083" s="172"/>
      <c r="L1083" s="64"/>
      <c r="M1083" s="173"/>
      <c r="R1083" s="22"/>
    </row>
    <row r="1084" spans="3:18" ht="13">
      <c r="C1084" s="172"/>
      <c r="D1084" s="172"/>
      <c r="L1084" s="64"/>
      <c r="M1084" s="173"/>
      <c r="R1084" s="22"/>
    </row>
    <row r="1085" spans="3:18" ht="13">
      <c r="C1085" s="172"/>
      <c r="D1085" s="172"/>
      <c r="L1085" s="64"/>
      <c r="M1085" s="173"/>
      <c r="R1085" s="22"/>
    </row>
    <row r="1086" spans="3:18" ht="13">
      <c r="C1086" s="172"/>
      <c r="D1086" s="172"/>
      <c r="L1086" s="64"/>
      <c r="M1086" s="173"/>
      <c r="R1086" s="22"/>
    </row>
    <row r="1087" spans="3:18" ht="13">
      <c r="C1087" s="172"/>
      <c r="D1087" s="172"/>
      <c r="L1087" s="64"/>
      <c r="M1087" s="173"/>
      <c r="R1087" s="22"/>
    </row>
    <row r="1088" spans="3:18" ht="13">
      <c r="C1088" s="172"/>
      <c r="D1088" s="172"/>
      <c r="L1088" s="64"/>
      <c r="M1088" s="173"/>
      <c r="R1088" s="22"/>
    </row>
    <row r="1089" spans="3:18" ht="13">
      <c r="C1089" s="172"/>
      <c r="D1089" s="172"/>
      <c r="L1089" s="64"/>
      <c r="M1089" s="173"/>
      <c r="R1089" s="22"/>
    </row>
    <row r="1090" spans="3:18" ht="13">
      <c r="C1090" s="172"/>
      <c r="D1090" s="172"/>
      <c r="L1090" s="64"/>
      <c r="M1090" s="173"/>
      <c r="R1090" s="22"/>
    </row>
    <row r="1091" spans="3:18" ht="13">
      <c r="C1091" s="172"/>
      <c r="D1091" s="172"/>
      <c r="L1091" s="64"/>
      <c r="M1091" s="173"/>
      <c r="R1091" s="22"/>
    </row>
    <row r="1092" spans="3:18" ht="13">
      <c r="C1092" s="172"/>
      <c r="D1092" s="172"/>
      <c r="L1092" s="64"/>
      <c r="M1092" s="173"/>
      <c r="R1092" s="22"/>
    </row>
    <row r="1093" spans="3:18" ht="13">
      <c r="C1093" s="172"/>
      <c r="D1093" s="172"/>
      <c r="L1093" s="64"/>
      <c r="M1093" s="173"/>
      <c r="R1093" s="22"/>
    </row>
    <row r="1094" spans="3:18" ht="13">
      <c r="C1094" s="172"/>
      <c r="D1094" s="172"/>
      <c r="L1094" s="64"/>
      <c r="M1094" s="173"/>
      <c r="R1094" s="22"/>
    </row>
    <row r="1095" spans="3:18" ht="13">
      <c r="C1095" s="172"/>
      <c r="D1095" s="172"/>
      <c r="L1095" s="64"/>
      <c r="M1095" s="173"/>
      <c r="R1095" s="22"/>
    </row>
    <row r="1096" spans="3:18" ht="13">
      <c r="C1096" s="172"/>
      <c r="D1096" s="172"/>
      <c r="L1096" s="64"/>
      <c r="M1096" s="173"/>
      <c r="R1096" s="22"/>
    </row>
    <row r="1097" spans="3:18" ht="13">
      <c r="C1097" s="172"/>
      <c r="D1097" s="172"/>
      <c r="L1097" s="64"/>
      <c r="M1097" s="173"/>
      <c r="R1097" s="22"/>
    </row>
    <row r="1098" spans="3:18" ht="13">
      <c r="C1098" s="172"/>
      <c r="D1098" s="172"/>
      <c r="L1098" s="64"/>
      <c r="M1098" s="173"/>
      <c r="R1098" s="22"/>
    </row>
    <row r="1099" spans="3:18" ht="13">
      <c r="C1099" s="172"/>
      <c r="D1099" s="172"/>
      <c r="L1099" s="64"/>
      <c r="M1099" s="173"/>
      <c r="R1099" s="22"/>
    </row>
    <row r="1100" spans="3:18" ht="13">
      <c r="C1100" s="172"/>
      <c r="D1100" s="172"/>
      <c r="L1100" s="64"/>
      <c r="M1100" s="173"/>
      <c r="R1100" s="22"/>
    </row>
    <row r="1101" spans="3:18" ht="13">
      <c r="C1101" s="172"/>
      <c r="D1101" s="172"/>
      <c r="L1101" s="64"/>
      <c r="M1101" s="173"/>
      <c r="R1101" s="22"/>
    </row>
    <row r="1102" spans="3:18" ht="13">
      <c r="C1102" s="172"/>
      <c r="D1102" s="172"/>
      <c r="L1102" s="64"/>
      <c r="M1102" s="173"/>
      <c r="R1102" s="22"/>
    </row>
    <row r="1103" spans="3:18" ht="13">
      <c r="C1103" s="172"/>
      <c r="D1103" s="172"/>
      <c r="L1103" s="64"/>
      <c r="M1103" s="173"/>
      <c r="R1103" s="22"/>
    </row>
    <row r="1104" spans="3:18" ht="13">
      <c r="C1104" s="172"/>
      <c r="D1104" s="172"/>
      <c r="L1104" s="64"/>
      <c r="M1104" s="173"/>
      <c r="R1104" s="22"/>
    </row>
    <row r="1105" spans="3:18" ht="13">
      <c r="C1105" s="172"/>
      <c r="D1105" s="172"/>
      <c r="L1105" s="64"/>
      <c r="M1105" s="173"/>
      <c r="R1105" s="22"/>
    </row>
    <row r="1106" spans="3:18" ht="13">
      <c r="C1106" s="172"/>
      <c r="D1106" s="172"/>
      <c r="L1106" s="64"/>
      <c r="M1106" s="173"/>
      <c r="R1106" s="22"/>
    </row>
    <row r="1107" spans="3:18" ht="13">
      <c r="C1107" s="172"/>
      <c r="D1107" s="172"/>
      <c r="L1107" s="64"/>
      <c r="M1107" s="173"/>
      <c r="R1107" s="22"/>
    </row>
    <row r="1108" spans="3:18" ht="13">
      <c r="C1108" s="172"/>
      <c r="D1108" s="172"/>
      <c r="L1108" s="64"/>
      <c r="M1108" s="173"/>
      <c r="R1108" s="22"/>
    </row>
    <row r="1109" spans="3:18" ht="13">
      <c r="C1109" s="172"/>
      <c r="D1109" s="172"/>
      <c r="L1109" s="64"/>
      <c r="M1109" s="173"/>
      <c r="R1109" s="22"/>
    </row>
    <row r="1110" spans="3:18" ht="13">
      <c r="C1110" s="172"/>
      <c r="D1110" s="172"/>
      <c r="L1110" s="64"/>
      <c r="M1110" s="173"/>
      <c r="R1110" s="22"/>
    </row>
    <row r="1111" spans="3:18" ht="13">
      <c r="C1111" s="172"/>
      <c r="D1111" s="172"/>
      <c r="L1111" s="64"/>
      <c r="M1111" s="173"/>
      <c r="R1111" s="22"/>
    </row>
    <row r="1112" spans="3:18" ht="13">
      <c r="C1112" s="172"/>
      <c r="D1112" s="172"/>
      <c r="L1112" s="64"/>
      <c r="M1112" s="173"/>
      <c r="R1112" s="22"/>
    </row>
    <row r="1113" spans="3:18" ht="13">
      <c r="C1113" s="172"/>
      <c r="D1113" s="172"/>
      <c r="L1113" s="64"/>
      <c r="M1113" s="173"/>
      <c r="R1113" s="22"/>
    </row>
    <row r="1114" spans="3:18" ht="13">
      <c r="C1114" s="172"/>
      <c r="D1114" s="172"/>
      <c r="L1114" s="64"/>
      <c r="M1114" s="173"/>
      <c r="R1114" s="22"/>
    </row>
    <row r="1115" spans="3:18" ht="13">
      <c r="C1115" s="172"/>
      <c r="D1115" s="172"/>
      <c r="L1115" s="64"/>
      <c r="M1115" s="173"/>
      <c r="R1115" s="22"/>
    </row>
    <row r="1116" spans="3:18" ht="13">
      <c r="C1116" s="172"/>
      <c r="D1116" s="172"/>
      <c r="L1116" s="64"/>
      <c r="M1116" s="173"/>
      <c r="R1116" s="22"/>
    </row>
    <row r="1117" spans="3:18" ht="13">
      <c r="C1117" s="172"/>
      <c r="D1117" s="172"/>
      <c r="L1117" s="64"/>
      <c r="M1117" s="173"/>
      <c r="R1117" s="22"/>
    </row>
    <row r="1118" spans="3:18" ht="13">
      <c r="C1118" s="172"/>
      <c r="D1118" s="172"/>
      <c r="L1118" s="64"/>
      <c r="M1118" s="173"/>
      <c r="R1118" s="22"/>
    </row>
    <row r="1119" spans="3:18" ht="13">
      <c r="C1119" s="172"/>
      <c r="D1119" s="172"/>
      <c r="L1119" s="64"/>
      <c r="M1119" s="173"/>
      <c r="R1119" s="22"/>
    </row>
    <row r="1120" spans="3:18" ht="13">
      <c r="C1120" s="172"/>
      <c r="D1120" s="172"/>
      <c r="L1120" s="64"/>
      <c r="M1120" s="173"/>
      <c r="R1120" s="22"/>
    </row>
    <row r="1121" spans="3:18" ht="13">
      <c r="C1121" s="172"/>
      <c r="D1121" s="172"/>
      <c r="L1121" s="64"/>
      <c r="M1121" s="173"/>
      <c r="R1121" s="22"/>
    </row>
    <row r="1122" spans="3:18" ht="13">
      <c r="C1122" s="172"/>
      <c r="D1122" s="172"/>
      <c r="L1122" s="64"/>
      <c r="M1122" s="173"/>
      <c r="R1122" s="22"/>
    </row>
    <row r="1123" spans="3:18" ht="13">
      <c r="C1123" s="172"/>
      <c r="D1123" s="172"/>
      <c r="L1123" s="64"/>
      <c r="M1123" s="173"/>
      <c r="R1123" s="22"/>
    </row>
    <row r="1124" spans="3:18" ht="13">
      <c r="C1124" s="172"/>
      <c r="D1124" s="172"/>
      <c r="L1124" s="64"/>
      <c r="M1124" s="173"/>
      <c r="R1124" s="22"/>
    </row>
    <row r="1125" spans="3:18" ht="13">
      <c r="C1125" s="172"/>
      <c r="D1125" s="172"/>
      <c r="L1125" s="64"/>
      <c r="M1125" s="173"/>
      <c r="R1125" s="22"/>
    </row>
    <row r="1126" spans="3:18" ht="13">
      <c r="C1126" s="172"/>
      <c r="D1126" s="172"/>
      <c r="L1126" s="64"/>
      <c r="M1126" s="173"/>
      <c r="R1126" s="22"/>
    </row>
    <row r="1127" spans="3:18" ht="13">
      <c r="C1127" s="172"/>
      <c r="D1127" s="172"/>
      <c r="L1127" s="64"/>
      <c r="M1127" s="173"/>
      <c r="R1127" s="22"/>
    </row>
    <row r="1128" spans="3:18" ht="13">
      <c r="C1128" s="172"/>
      <c r="D1128" s="172"/>
      <c r="L1128" s="64"/>
      <c r="M1128" s="173"/>
      <c r="R1128" s="22"/>
    </row>
    <row r="1129" spans="3:18" ht="13">
      <c r="C1129" s="172"/>
      <c r="D1129" s="172"/>
      <c r="L1129" s="64"/>
      <c r="M1129" s="173"/>
      <c r="R1129" s="22"/>
    </row>
    <row r="1130" spans="3:18" ht="13">
      <c r="C1130" s="172"/>
      <c r="D1130" s="172"/>
      <c r="L1130" s="64"/>
      <c r="M1130" s="173"/>
      <c r="R1130" s="22"/>
    </row>
    <row r="1131" spans="3:18" ht="13">
      <c r="C1131" s="172"/>
      <c r="D1131" s="172"/>
      <c r="L1131" s="64"/>
      <c r="M1131" s="173"/>
      <c r="R1131" s="22"/>
    </row>
    <row r="1132" spans="3:18" ht="13">
      <c r="C1132" s="172"/>
      <c r="D1132" s="172"/>
      <c r="L1132" s="64"/>
      <c r="M1132" s="173"/>
      <c r="R1132" s="22"/>
    </row>
    <row r="1133" spans="3:18" ht="13">
      <c r="C1133" s="172"/>
      <c r="D1133" s="172"/>
      <c r="L1133" s="64"/>
      <c r="M1133" s="173"/>
      <c r="R1133" s="22"/>
    </row>
    <row r="1134" spans="3:18" ht="13">
      <c r="C1134" s="172"/>
      <c r="D1134" s="172"/>
      <c r="L1134" s="64"/>
      <c r="M1134" s="173"/>
      <c r="R1134" s="22"/>
    </row>
    <row r="1135" spans="3:18" ht="13">
      <c r="C1135" s="172"/>
      <c r="D1135" s="172"/>
      <c r="L1135" s="64"/>
      <c r="M1135" s="173"/>
      <c r="R1135" s="22"/>
    </row>
    <row r="1136" spans="3:18" ht="13">
      <c r="C1136" s="172"/>
      <c r="D1136" s="172"/>
      <c r="L1136" s="64"/>
      <c r="M1136" s="173"/>
      <c r="R1136" s="22"/>
    </row>
    <row r="1137" spans="3:18" ht="13">
      <c r="C1137" s="172"/>
      <c r="D1137" s="172"/>
      <c r="L1137" s="64"/>
      <c r="M1137" s="173"/>
      <c r="R1137" s="22"/>
    </row>
    <row r="1138" spans="3:18" ht="13">
      <c r="C1138" s="172"/>
      <c r="D1138" s="172"/>
      <c r="L1138" s="64"/>
      <c r="M1138" s="173"/>
      <c r="R1138" s="22"/>
    </row>
    <row r="1139" spans="3:18" ht="13">
      <c r="C1139" s="172"/>
      <c r="D1139" s="172"/>
      <c r="L1139" s="64"/>
      <c r="M1139" s="173"/>
      <c r="R1139" s="22"/>
    </row>
    <row r="1140" spans="3:18" ht="13">
      <c r="C1140" s="172"/>
      <c r="D1140" s="172"/>
      <c r="L1140" s="64"/>
      <c r="M1140" s="173"/>
      <c r="R1140" s="22"/>
    </row>
    <row r="1141" spans="3:18" ht="13">
      <c r="C1141" s="172"/>
      <c r="D1141" s="172"/>
      <c r="L1141" s="64"/>
      <c r="M1141" s="173"/>
      <c r="R1141" s="22"/>
    </row>
    <row r="1142" spans="3:18" ht="13">
      <c r="C1142" s="172"/>
      <c r="D1142" s="172"/>
      <c r="L1142" s="64"/>
      <c r="M1142" s="173"/>
      <c r="R1142" s="22"/>
    </row>
    <row r="1143" spans="3:18" ht="13">
      <c r="C1143" s="172"/>
      <c r="D1143" s="172"/>
      <c r="L1143" s="64"/>
      <c r="M1143" s="173"/>
      <c r="R1143" s="22"/>
    </row>
    <row r="1144" spans="3:18" ht="13">
      <c r="C1144" s="172"/>
      <c r="D1144" s="172"/>
      <c r="L1144" s="64"/>
      <c r="M1144" s="173"/>
      <c r="R1144" s="22"/>
    </row>
    <row r="1145" spans="3:18" ht="13">
      <c r="C1145" s="172"/>
      <c r="D1145" s="172"/>
      <c r="L1145" s="64"/>
      <c r="M1145" s="173"/>
      <c r="R1145" s="22"/>
    </row>
    <row r="1146" spans="3:18" ht="13">
      <c r="C1146" s="172"/>
      <c r="D1146" s="172"/>
      <c r="L1146" s="64"/>
      <c r="M1146" s="173"/>
      <c r="R1146" s="22"/>
    </row>
    <row r="1147" spans="3:18" ht="13">
      <c r="C1147" s="172"/>
      <c r="D1147" s="172"/>
      <c r="L1147" s="64"/>
      <c r="M1147" s="173"/>
      <c r="R1147" s="22"/>
    </row>
    <row r="1148" spans="3:18" ht="13">
      <c r="C1148" s="172"/>
      <c r="D1148" s="172"/>
      <c r="L1148" s="64"/>
      <c r="M1148" s="173"/>
      <c r="R1148" s="22"/>
    </row>
    <row r="1149" spans="3:18" ht="13">
      <c r="C1149" s="172"/>
      <c r="D1149" s="172"/>
      <c r="L1149" s="64"/>
      <c r="M1149" s="173"/>
      <c r="R1149" s="22"/>
    </row>
    <row r="1150" spans="3:18" ht="13">
      <c r="C1150" s="172"/>
      <c r="D1150" s="172"/>
      <c r="L1150" s="64"/>
      <c r="M1150" s="173"/>
      <c r="R1150" s="22"/>
    </row>
    <row r="1151" spans="3:18" ht="13">
      <c r="C1151" s="172"/>
      <c r="D1151" s="172"/>
      <c r="L1151" s="64"/>
      <c r="M1151" s="173"/>
      <c r="R1151" s="22"/>
    </row>
    <row r="1152" spans="3:18" ht="13">
      <c r="C1152" s="172"/>
      <c r="D1152" s="172"/>
      <c r="L1152" s="64"/>
      <c r="M1152" s="173"/>
      <c r="R1152" s="22"/>
    </row>
    <row r="1153" spans="3:18" ht="13">
      <c r="C1153" s="172"/>
      <c r="D1153" s="172"/>
      <c r="L1153" s="64"/>
      <c r="M1153" s="173"/>
      <c r="R1153" s="22"/>
    </row>
    <row r="1154" spans="3:18" ht="13">
      <c r="C1154" s="172"/>
      <c r="D1154" s="172"/>
      <c r="L1154" s="64"/>
      <c r="M1154" s="173"/>
      <c r="R1154" s="22"/>
    </row>
    <row r="1155" spans="3:18" ht="13">
      <c r="C1155" s="172"/>
      <c r="D1155" s="172"/>
      <c r="L1155" s="64"/>
      <c r="M1155" s="173"/>
      <c r="R1155" s="22"/>
    </row>
    <row r="1156" spans="3:18" ht="13">
      <c r="C1156" s="172"/>
      <c r="D1156" s="172"/>
      <c r="L1156" s="64"/>
      <c r="M1156" s="173"/>
      <c r="R1156" s="22"/>
    </row>
    <row r="1157" spans="3:18" ht="13">
      <c r="C1157" s="172"/>
      <c r="D1157" s="172"/>
      <c r="L1157" s="64"/>
      <c r="M1157" s="173"/>
      <c r="R1157" s="22"/>
    </row>
    <row r="1158" spans="3:18" ht="13">
      <c r="C1158" s="172"/>
      <c r="D1158" s="172"/>
      <c r="L1158" s="64"/>
      <c r="M1158" s="173"/>
      <c r="R1158" s="22"/>
    </row>
    <row r="1159" spans="3:18" ht="13">
      <c r="C1159" s="172"/>
      <c r="D1159" s="172"/>
      <c r="L1159" s="64"/>
      <c r="M1159" s="173"/>
      <c r="R1159" s="22"/>
    </row>
    <row r="1160" spans="3:18" ht="13">
      <c r="C1160" s="172"/>
      <c r="D1160" s="172"/>
      <c r="L1160" s="64"/>
      <c r="M1160" s="173"/>
      <c r="R1160" s="22"/>
    </row>
    <row r="1161" spans="3:18" ht="13">
      <c r="C1161" s="172"/>
      <c r="D1161" s="172"/>
      <c r="L1161" s="64"/>
      <c r="M1161" s="173"/>
      <c r="R1161" s="22"/>
    </row>
    <row r="1162" spans="3:18" ht="13">
      <c r="C1162" s="172"/>
      <c r="D1162" s="172"/>
      <c r="L1162" s="64"/>
      <c r="M1162" s="173"/>
      <c r="R1162" s="22"/>
    </row>
    <row r="1163" spans="3:18" ht="13">
      <c r="C1163" s="172"/>
      <c r="D1163" s="172"/>
      <c r="L1163" s="64"/>
      <c r="M1163" s="173"/>
      <c r="R1163" s="22"/>
    </row>
    <row r="1164" spans="3:18" ht="13">
      <c r="C1164" s="172"/>
      <c r="D1164" s="172"/>
      <c r="L1164" s="64"/>
      <c r="M1164" s="173"/>
      <c r="R1164" s="22"/>
    </row>
    <row r="1165" spans="3:18" ht="13">
      <c r="C1165" s="172"/>
      <c r="D1165" s="172"/>
      <c r="L1165" s="64"/>
      <c r="M1165" s="173"/>
      <c r="R1165" s="22"/>
    </row>
    <row r="1166" spans="3:18" ht="13">
      <c r="C1166" s="172"/>
      <c r="D1166" s="172"/>
      <c r="L1166" s="64"/>
      <c r="M1166" s="173"/>
      <c r="R1166" s="22"/>
    </row>
    <row r="1167" spans="3:18" ht="13">
      <c r="C1167" s="172"/>
      <c r="D1167" s="172"/>
      <c r="L1167" s="64"/>
      <c r="M1167" s="173"/>
      <c r="R1167" s="22"/>
    </row>
    <row r="1168" spans="3:18" ht="13">
      <c r="C1168" s="172"/>
      <c r="D1168" s="172"/>
      <c r="L1168" s="64"/>
      <c r="M1168" s="173"/>
      <c r="R1168" s="22"/>
    </row>
    <row r="1169" spans="3:18" ht="13">
      <c r="C1169" s="172"/>
      <c r="D1169" s="172"/>
      <c r="L1169" s="64"/>
      <c r="M1169" s="173"/>
      <c r="R1169" s="22"/>
    </row>
    <row r="1170" spans="3:18" ht="13">
      <c r="C1170" s="172"/>
      <c r="D1170" s="172"/>
      <c r="L1170" s="64"/>
      <c r="M1170" s="173"/>
      <c r="R1170" s="22"/>
    </row>
    <row r="1171" spans="3:18" ht="13">
      <c r="C1171" s="172"/>
      <c r="D1171" s="172"/>
      <c r="L1171" s="64"/>
      <c r="M1171" s="173"/>
      <c r="R1171" s="22"/>
    </row>
    <row r="1172" spans="3:18" ht="13">
      <c r="C1172" s="172"/>
      <c r="D1172" s="172"/>
      <c r="L1172" s="64"/>
      <c r="M1172" s="173"/>
      <c r="R1172" s="22"/>
    </row>
    <row r="1173" spans="3:18" ht="13">
      <c r="C1173" s="172"/>
      <c r="D1173" s="172"/>
      <c r="L1173" s="64"/>
      <c r="M1173" s="173"/>
      <c r="R1173" s="22"/>
    </row>
    <row r="1174" spans="3:18" ht="13">
      <c r="C1174" s="172"/>
      <c r="D1174" s="172"/>
      <c r="L1174" s="64"/>
      <c r="M1174" s="173"/>
      <c r="R1174" s="22"/>
    </row>
    <row r="1175" spans="3:18" ht="13">
      <c r="C1175" s="172"/>
      <c r="D1175" s="172"/>
      <c r="L1175" s="64"/>
      <c r="M1175" s="173"/>
      <c r="R1175" s="22"/>
    </row>
    <row r="1176" spans="3:18" ht="13">
      <c r="C1176" s="172"/>
      <c r="D1176" s="172"/>
      <c r="L1176" s="64"/>
      <c r="M1176" s="173"/>
      <c r="R1176" s="22"/>
    </row>
    <row r="1177" spans="3:18" ht="13">
      <c r="C1177" s="172"/>
      <c r="D1177" s="172"/>
      <c r="L1177" s="64"/>
      <c r="M1177" s="173"/>
      <c r="R1177" s="22"/>
    </row>
    <row r="1178" spans="3:18" ht="13">
      <c r="C1178" s="172"/>
      <c r="D1178" s="172"/>
      <c r="L1178" s="64"/>
      <c r="M1178" s="173"/>
      <c r="R1178" s="22"/>
    </row>
    <row r="1179" spans="3:18" ht="13">
      <c r="C1179" s="172"/>
      <c r="D1179" s="172"/>
      <c r="L1179" s="64"/>
      <c r="M1179" s="173"/>
      <c r="R1179" s="22"/>
    </row>
    <row r="1180" spans="3:18" ht="13">
      <c r="C1180" s="172"/>
      <c r="D1180" s="172"/>
      <c r="L1180" s="64"/>
      <c r="M1180" s="173"/>
      <c r="R1180" s="22"/>
    </row>
    <row r="1181" spans="3:18" ht="13">
      <c r="C1181" s="172"/>
      <c r="D1181" s="172"/>
      <c r="L1181" s="64"/>
      <c r="M1181" s="173"/>
      <c r="R1181" s="22"/>
    </row>
    <row r="1182" spans="3:18" ht="13">
      <c r="C1182" s="172"/>
      <c r="D1182" s="172"/>
      <c r="L1182" s="64"/>
      <c r="M1182" s="173"/>
      <c r="R1182" s="22"/>
    </row>
    <row r="1183" spans="3:18" ht="13">
      <c r="C1183" s="172"/>
      <c r="D1183" s="172"/>
      <c r="L1183" s="64"/>
      <c r="M1183" s="173"/>
      <c r="R1183" s="22"/>
    </row>
    <row r="1184" spans="3:18" ht="13">
      <c r="C1184" s="172"/>
      <c r="D1184" s="172"/>
      <c r="L1184" s="64"/>
      <c r="M1184" s="173"/>
      <c r="R1184" s="22"/>
    </row>
    <row r="1185" spans="3:18" ht="13">
      <c r="C1185" s="172"/>
      <c r="D1185" s="172"/>
      <c r="L1185" s="64"/>
      <c r="M1185" s="173"/>
      <c r="R1185" s="22"/>
    </row>
    <row r="1186" spans="3:18" ht="13">
      <c r="C1186" s="172"/>
      <c r="D1186" s="172"/>
      <c r="L1186" s="64"/>
      <c r="M1186" s="173"/>
      <c r="R1186" s="22"/>
    </row>
    <row r="1187" spans="3:18" ht="13">
      <c r="C1187" s="172"/>
      <c r="D1187" s="172"/>
      <c r="L1187" s="64"/>
      <c r="M1187" s="173"/>
      <c r="R1187" s="22"/>
    </row>
    <row r="1188" spans="3:18" ht="13">
      <c r="C1188" s="172"/>
      <c r="D1188" s="172"/>
      <c r="L1188" s="64"/>
      <c r="M1188" s="173"/>
      <c r="R1188" s="22"/>
    </row>
    <row r="1189" spans="3:18" ht="13">
      <c r="C1189" s="172"/>
      <c r="D1189" s="172"/>
      <c r="L1189" s="64"/>
      <c r="M1189" s="173"/>
      <c r="R1189" s="22"/>
    </row>
    <row r="1190" spans="3:18" ht="13">
      <c r="C1190" s="172"/>
      <c r="D1190" s="172"/>
      <c r="L1190" s="64"/>
      <c r="M1190" s="173"/>
      <c r="R1190" s="22"/>
    </row>
    <row r="1191" spans="3:18" ht="13">
      <c r="C1191" s="172"/>
      <c r="D1191" s="172"/>
      <c r="L1191" s="64"/>
      <c r="M1191" s="173"/>
      <c r="R1191" s="22"/>
    </row>
    <row r="1192" spans="3:18" ht="13">
      <c r="C1192" s="172"/>
      <c r="D1192" s="172"/>
      <c r="L1192" s="64"/>
      <c r="M1192" s="173"/>
      <c r="R1192" s="22"/>
    </row>
    <row r="1193" spans="3:18" ht="13">
      <c r="C1193" s="172"/>
      <c r="D1193" s="172"/>
      <c r="L1193" s="64"/>
      <c r="M1193" s="173"/>
      <c r="R1193" s="22"/>
    </row>
    <row r="1194" spans="3:18" ht="13">
      <c r="C1194" s="172"/>
      <c r="D1194" s="172"/>
      <c r="L1194" s="64"/>
      <c r="M1194" s="173"/>
      <c r="R1194" s="22"/>
    </row>
    <row r="1195" spans="3:18" ht="13">
      <c r="C1195" s="172"/>
      <c r="D1195" s="172"/>
      <c r="L1195" s="64"/>
      <c r="M1195" s="173"/>
      <c r="R1195" s="22"/>
    </row>
    <row r="1196" spans="3:18" ht="13">
      <c r="C1196" s="172"/>
      <c r="D1196" s="172"/>
      <c r="L1196" s="64"/>
      <c r="M1196" s="173"/>
      <c r="R1196" s="22"/>
    </row>
    <row r="1197" spans="3:18" ht="13">
      <c r="C1197" s="172"/>
      <c r="D1197" s="172"/>
      <c r="L1197" s="64"/>
      <c r="M1197" s="173"/>
      <c r="R1197" s="22"/>
    </row>
    <row r="1198" spans="3:18" ht="13">
      <c r="C1198" s="172"/>
      <c r="D1198" s="172"/>
      <c r="L1198" s="64"/>
      <c r="M1198" s="173"/>
      <c r="R1198" s="22"/>
    </row>
    <row r="1199" spans="3:18" ht="13">
      <c r="C1199" s="172"/>
      <c r="D1199" s="172"/>
      <c r="L1199" s="64"/>
      <c r="M1199" s="173"/>
      <c r="R1199" s="22"/>
    </row>
    <row r="1200" spans="3:18" ht="13">
      <c r="C1200" s="172"/>
      <c r="D1200" s="172"/>
      <c r="L1200" s="64"/>
      <c r="M1200" s="173"/>
      <c r="R1200" s="22"/>
    </row>
    <row r="1201" spans="3:18" ht="13">
      <c r="C1201" s="172"/>
      <c r="D1201" s="172"/>
      <c r="L1201" s="64"/>
      <c r="M1201" s="173"/>
      <c r="R1201" s="22"/>
    </row>
    <row r="1202" spans="3:18" ht="13">
      <c r="C1202" s="172"/>
      <c r="D1202" s="172"/>
      <c r="L1202" s="64"/>
      <c r="M1202" s="173"/>
      <c r="R1202" s="22"/>
    </row>
    <row r="1203" spans="3:18" ht="13">
      <c r="C1203" s="172"/>
      <c r="D1203" s="172"/>
      <c r="L1203" s="64"/>
      <c r="M1203" s="173"/>
      <c r="R1203" s="22"/>
    </row>
    <row r="1204" spans="3:18" ht="13">
      <c r="C1204" s="172"/>
      <c r="D1204" s="172"/>
      <c r="L1204" s="64"/>
      <c r="M1204" s="173"/>
      <c r="R1204" s="22"/>
    </row>
    <row r="1205" spans="3:18" ht="13">
      <c r="C1205" s="172"/>
      <c r="D1205" s="172"/>
      <c r="L1205" s="64"/>
      <c r="M1205" s="173"/>
      <c r="R1205" s="22"/>
    </row>
    <row r="1206" spans="3:18" ht="13">
      <c r="C1206" s="172"/>
      <c r="D1206" s="172"/>
      <c r="L1206" s="64"/>
      <c r="M1206" s="173"/>
      <c r="R1206" s="22"/>
    </row>
    <row r="1207" spans="3:18" ht="13">
      <c r="C1207" s="172"/>
      <c r="D1207" s="172"/>
      <c r="L1207" s="64"/>
      <c r="M1207" s="173"/>
      <c r="R1207" s="22"/>
    </row>
    <row r="1208" spans="3:18" ht="13">
      <c r="C1208" s="172"/>
      <c r="D1208" s="172"/>
      <c r="L1208" s="64"/>
      <c r="M1208" s="173"/>
      <c r="R1208" s="22"/>
    </row>
    <row r="1209" spans="3:18" ht="13">
      <c r="C1209" s="172"/>
      <c r="D1209" s="172"/>
      <c r="L1209" s="64"/>
      <c r="M1209" s="173"/>
      <c r="R1209" s="22"/>
    </row>
    <row r="1210" spans="3:18" ht="13">
      <c r="C1210" s="172"/>
      <c r="D1210" s="172"/>
      <c r="L1210" s="64"/>
      <c r="M1210" s="173"/>
      <c r="R1210" s="22"/>
    </row>
    <row r="1211" spans="3:18" ht="13">
      <c r="C1211" s="172"/>
      <c r="D1211" s="172"/>
      <c r="L1211" s="64"/>
      <c r="M1211" s="173"/>
      <c r="R1211" s="22"/>
    </row>
    <row r="1212" spans="3:18" ht="13">
      <c r="C1212" s="172"/>
      <c r="D1212" s="172"/>
      <c r="L1212" s="64"/>
      <c r="M1212" s="173"/>
      <c r="R1212" s="22"/>
    </row>
    <row r="1213" spans="3:18" ht="13">
      <c r="C1213" s="172"/>
      <c r="D1213" s="172"/>
      <c r="L1213" s="64"/>
      <c r="M1213" s="173"/>
      <c r="R1213" s="22"/>
    </row>
    <row r="1214" spans="3:18" ht="13">
      <c r="C1214" s="172"/>
      <c r="D1214" s="172"/>
      <c r="L1214" s="64"/>
      <c r="M1214" s="173"/>
      <c r="R1214" s="22"/>
    </row>
    <row r="1215" spans="3:18" ht="13">
      <c r="C1215" s="172"/>
      <c r="D1215" s="172"/>
      <c r="L1215" s="64"/>
      <c r="M1215" s="173"/>
      <c r="R1215" s="22"/>
    </row>
    <row r="1216" spans="3:18" ht="13">
      <c r="C1216" s="172"/>
      <c r="D1216" s="172"/>
      <c r="L1216" s="64"/>
      <c r="M1216" s="173"/>
      <c r="R1216" s="22"/>
    </row>
    <row r="1217" spans="3:18" ht="13">
      <c r="C1217" s="172"/>
      <c r="D1217" s="172"/>
      <c r="L1217" s="64"/>
      <c r="M1217" s="173"/>
      <c r="R1217" s="22"/>
    </row>
    <row r="1218" spans="3:18" ht="13">
      <c r="C1218" s="172"/>
      <c r="D1218" s="172"/>
      <c r="L1218" s="64"/>
      <c r="M1218" s="173"/>
      <c r="R1218" s="22"/>
    </row>
    <row r="1219" spans="3:18" ht="13">
      <c r="C1219" s="172"/>
      <c r="D1219" s="172"/>
      <c r="L1219" s="64"/>
      <c r="M1219" s="173"/>
      <c r="R1219" s="22"/>
    </row>
    <row r="1220" spans="3:18" ht="13">
      <c r="C1220" s="172"/>
      <c r="D1220" s="172"/>
      <c r="L1220" s="64"/>
      <c r="M1220" s="173"/>
      <c r="R1220" s="22"/>
    </row>
    <row r="1221" spans="3:18" ht="13">
      <c r="C1221" s="172"/>
      <c r="D1221" s="172"/>
      <c r="L1221" s="64"/>
      <c r="M1221" s="173"/>
      <c r="R1221" s="22"/>
    </row>
    <row r="1222" spans="3:18" ht="13">
      <c r="C1222" s="172"/>
      <c r="D1222" s="172"/>
      <c r="L1222" s="64"/>
      <c r="M1222" s="173"/>
      <c r="R1222" s="22"/>
    </row>
    <row r="1223" spans="3:18" ht="13">
      <c r="C1223" s="172"/>
      <c r="D1223" s="172"/>
      <c r="L1223" s="64"/>
      <c r="M1223" s="173"/>
      <c r="R1223" s="22"/>
    </row>
    <row r="1224" spans="3:18" ht="13">
      <c r="C1224" s="172"/>
      <c r="D1224" s="172"/>
      <c r="L1224" s="64"/>
      <c r="M1224" s="173"/>
      <c r="R1224" s="22"/>
    </row>
    <row r="1225" spans="3:18" ht="13">
      <c r="C1225" s="172"/>
      <c r="D1225" s="172"/>
      <c r="L1225" s="64"/>
      <c r="M1225" s="173"/>
      <c r="R1225" s="22"/>
    </row>
    <row r="1226" spans="3:18" ht="13">
      <c r="C1226" s="172"/>
      <c r="D1226" s="172"/>
      <c r="L1226" s="64"/>
      <c r="M1226" s="173"/>
      <c r="R1226" s="22"/>
    </row>
    <row r="1227" spans="3:18" ht="13">
      <c r="C1227" s="172"/>
      <c r="D1227" s="172"/>
      <c r="L1227" s="64"/>
      <c r="M1227" s="173"/>
      <c r="R1227" s="22"/>
    </row>
    <row r="1228" spans="3:18" ht="13">
      <c r="C1228" s="172"/>
      <c r="D1228" s="172"/>
      <c r="L1228" s="64"/>
      <c r="M1228" s="173"/>
      <c r="R1228" s="22"/>
    </row>
    <row r="1229" spans="3:18" ht="13">
      <c r="C1229" s="172"/>
      <c r="D1229" s="172"/>
      <c r="L1229" s="64"/>
      <c r="M1229" s="173"/>
      <c r="R1229" s="22"/>
    </row>
    <row r="1230" spans="3:18" ht="13">
      <c r="C1230" s="172"/>
      <c r="D1230" s="172"/>
      <c r="L1230" s="64"/>
      <c r="M1230" s="173"/>
      <c r="R1230" s="22"/>
    </row>
    <row r="1231" spans="3:18" ht="13">
      <c r="C1231" s="172"/>
      <c r="D1231" s="172"/>
      <c r="L1231" s="64"/>
      <c r="M1231" s="173"/>
      <c r="R1231" s="22"/>
    </row>
    <row r="1232" spans="3:18" ht="13">
      <c r="C1232" s="172"/>
      <c r="D1232" s="172"/>
      <c r="L1232" s="64"/>
      <c r="M1232" s="173"/>
      <c r="R1232" s="22"/>
    </row>
    <row r="1233" spans="3:18" ht="13">
      <c r="C1233" s="172"/>
      <c r="D1233" s="172"/>
      <c r="L1233" s="64"/>
      <c r="M1233" s="173"/>
      <c r="R1233" s="22"/>
    </row>
    <row r="1234" spans="3:18" ht="13">
      <c r="C1234" s="172"/>
      <c r="D1234" s="172"/>
      <c r="L1234" s="64"/>
      <c r="M1234" s="173"/>
      <c r="R1234" s="22"/>
    </row>
    <row r="1235" spans="3:18" ht="13">
      <c r="C1235" s="172"/>
      <c r="D1235" s="172"/>
      <c r="L1235" s="64"/>
      <c r="M1235" s="173"/>
      <c r="R1235" s="22"/>
    </row>
    <row r="1236" spans="3:18" ht="13">
      <c r="C1236" s="172"/>
      <c r="D1236" s="172"/>
      <c r="L1236" s="64"/>
      <c r="M1236" s="173"/>
      <c r="R1236" s="22"/>
    </row>
    <row r="1237" spans="3:18" ht="13">
      <c r="C1237" s="172"/>
      <c r="D1237" s="172"/>
      <c r="L1237" s="64"/>
      <c r="M1237" s="173"/>
      <c r="R1237" s="22"/>
    </row>
    <row r="1238" spans="3:18" ht="13">
      <c r="C1238" s="172"/>
      <c r="D1238" s="172"/>
      <c r="L1238" s="64"/>
      <c r="M1238" s="173"/>
      <c r="R1238" s="22"/>
    </row>
    <row r="1239" spans="3:18" ht="13">
      <c r="C1239" s="172"/>
      <c r="D1239" s="172"/>
      <c r="L1239" s="64"/>
      <c r="M1239" s="173"/>
      <c r="R1239" s="22"/>
    </row>
    <row r="1240" spans="3:18" ht="13">
      <c r="C1240" s="172"/>
      <c r="D1240" s="172"/>
      <c r="L1240" s="64"/>
      <c r="M1240" s="173"/>
      <c r="R1240" s="22"/>
    </row>
    <row r="1241" spans="3:18" ht="13">
      <c r="C1241" s="172"/>
      <c r="D1241" s="172"/>
      <c r="L1241" s="64"/>
      <c r="M1241" s="173"/>
      <c r="R1241" s="22"/>
    </row>
    <row r="1242" spans="3:18" ht="13">
      <c r="C1242" s="172"/>
      <c r="D1242" s="172"/>
      <c r="L1242" s="64"/>
      <c r="M1242" s="173"/>
      <c r="R1242" s="22"/>
    </row>
    <row r="1243" spans="3:18" ht="13">
      <c r="C1243" s="172"/>
      <c r="D1243" s="172"/>
      <c r="L1243" s="64"/>
      <c r="M1243" s="173"/>
      <c r="R1243" s="22"/>
    </row>
    <row r="1244" spans="3:18" ht="13">
      <c r="C1244" s="172"/>
      <c r="D1244" s="172"/>
      <c r="L1244" s="64"/>
      <c r="M1244" s="173"/>
      <c r="R1244" s="22"/>
    </row>
    <row r="1245" spans="3:18" ht="13">
      <c r="C1245" s="172"/>
      <c r="D1245" s="172"/>
      <c r="L1245" s="64"/>
      <c r="M1245" s="173"/>
      <c r="R1245" s="22"/>
    </row>
    <row r="1246" spans="3:18" ht="13">
      <c r="C1246" s="172"/>
      <c r="D1246" s="172"/>
      <c r="L1246" s="64"/>
      <c r="M1246" s="173"/>
      <c r="R1246" s="22"/>
    </row>
    <row r="1247" spans="3:18" ht="13">
      <c r="C1247" s="172"/>
      <c r="D1247" s="172"/>
      <c r="L1247" s="64"/>
      <c r="M1247" s="173"/>
      <c r="R1247" s="22"/>
    </row>
    <row r="1248" spans="3:18" ht="13">
      <c r="C1248" s="172"/>
      <c r="D1248" s="172"/>
      <c r="L1248" s="64"/>
      <c r="M1248" s="173"/>
      <c r="R1248" s="22"/>
    </row>
    <row r="1249" spans="3:18" ht="13">
      <c r="C1249" s="172"/>
      <c r="D1249" s="172"/>
      <c r="L1249" s="64"/>
      <c r="M1249" s="173"/>
      <c r="R1249" s="22"/>
    </row>
    <row r="1250" spans="3:18" ht="13">
      <c r="C1250" s="172"/>
      <c r="D1250" s="172"/>
      <c r="L1250" s="64"/>
      <c r="M1250" s="173"/>
      <c r="R1250" s="22"/>
    </row>
    <row r="1251" spans="3:18" ht="13">
      <c r="C1251" s="172"/>
      <c r="D1251" s="172"/>
      <c r="L1251" s="64"/>
      <c r="M1251" s="173"/>
      <c r="R1251" s="22"/>
    </row>
    <row r="1252" spans="3:18" ht="13">
      <c r="C1252" s="172"/>
      <c r="D1252" s="172"/>
      <c r="L1252" s="64"/>
      <c r="M1252" s="173"/>
      <c r="R1252" s="22"/>
    </row>
    <row r="1253" spans="3:18" ht="13">
      <c r="C1253" s="172"/>
      <c r="D1253" s="172"/>
      <c r="L1253" s="64"/>
      <c r="M1253" s="173"/>
      <c r="R1253" s="22"/>
    </row>
    <row r="1254" spans="3:18" ht="13">
      <c r="C1254" s="172"/>
      <c r="D1254" s="172"/>
      <c r="L1254" s="64"/>
      <c r="M1254" s="173"/>
      <c r="R1254" s="22"/>
    </row>
    <row r="1255" spans="3:18" ht="13">
      <c r="C1255" s="172"/>
      <c r="D1255" s="172"/>
      <c r="L1255" s="64"/>
      <c r="M1255" s="173"/>
      <c r="R1255" s="22"/>
    </row>
    <row r="1256" spans="3:18" ht="13">
      <c r="C1256" s="172"/>
      <c r="D1256" s="172"/>
      <c r="L1256" s="64"/>
      <c r="M1256" s="173"/>
      <c r="R1256" s="22"/>
    </row>
    <row r="1257" spans="3:18" ht="13">
      <c r="C1257" s="172"/>
      <c r="D1257" s="172"/>
      <c r="L1257" s="64"/>
      <c r="M1257" s="173"/>
      <c r="R1257" s="22"/>
    </row>
    <row r="1258" spans="3:18" ht="13">
      <c r="C1258" s="172"/>
      <c r="D1258" s="172"/>
      <c r="L1258" s="64"/>
      <c r="M1258" s="173"/>
      <c r="R1258" s="22"/>
    </row>
    <row r="1259" spans="3:18" ht="13">
      <c r="C1259" s="172"/>
      <c r="D1259" s="172"/>
      <c r="L1259" s="64"/>
      <c r="M1259" s="173"/>
      <c r="R1259" s="22"/>
    </row>
    <row r="1260" spans="3:18" ht="13">
      <c r="C1260" s="172"/>
      <c r="D1260" s="172"/>
      <c r="L1260" s="64"/>
      <c r="M1260" s="173"/>
      <c r="R1260" s="22"/>
    </row>
    <row r="1261" spans="3:18" ht="13">
      <c r="C1261" s="172"/>
      <c r="D1261" s="172"/>
      <c r="L1261" s="64"/>
      <c r="M1261" s="173"/>
      <c r="R1261" s="22"/>
    </row>
    <row r="1262" spans="3:18" ht="13">
      <c r="C1262" s="172"/>
      <c r="D1262" s="172"/>
      <c r="L1262" s="64"/>
      <c r="M1262" s="173"/>
      <c r="R1262" s="22"/>
    </row>
    <row r="1263" spans="3:18" ht="13">
      <c r="C1263" s="172"/>
      <c r="D1263" s="172"/>
      <c r="L1263" s="64"/>
      <c r="M1263" s="173"/>
      <c r="R1263" s="22"/>
    </row>
    <row r="1264" spans="3:18" ht="13">
      <c r="C1264" s="172"/>
      <c r="D1264" s="172"/>
      <c r="L1264" s="64"/>
      <c r="M1264" s="173"/>
      <c r="R1264" s="22"/>
    </row>
    <row r="1265" spans="3:18" ht="13">
      <c r="C1265" s="172"/>
      <c r="D1265" s="172"/>
      <c r="L1265" s="64"/>
      <c r="M1265" s="173"/>
      <c r="R1265" s="22"/>
    </row>
    <row r="1266" spans="3:18" ht="13">
      <c r="C1266" s="172"/>
      <c r="D1266" s="172"/>
      <c r="L1266" s="64"/>
      <c r="M1266" s="173"/>
      <c r="R1266" s="22"/>
    </row>
    <row r="1267" spans="3:18" ht="13">
      <c r="C1267" s="172"/>
      <c r="D1267" s="172"/>
      <c r="L1267" s="64"/>
      <c r="M1267" s="173"/>
      <c r="R1267" s="22"/>
    </row>
    <row r="1268" spans="3:18" ht="13">
      <c r="C1268" s="172"/>
      <c r="D1268" s="172"/>
      <c r="L1268" s="64"/>
      <c r="M1268" s="173"/>
      <c r="R1268" s="22"/>
    </row>
    <row r="1269" spans="3:18" ht="13">
      <c r="C1269" s="172"/>
      <c r="D1269" s="172"/>
      <c r="L1269" s="64"/>
      <c r="M1269" s="173"/>
      <c r="R1269" s="22"/>
    </row>
    <row r="1270" spans="3:18" ht="13">
      <c r="C1270" s="172"/>
      <c r="D1270" s="172"/>
      <c r="L1270" s="64"/>
      <c r="M1270" s="173"/>
      <c r="R1270" s="22"/>
    </row>
    <row r="1271" spans="3:18" ht="13">
      <c r="C1271" s="172"/>
      <c r="D1271" s="172"/>
      <c r="L1271" s="64"/>
      <c r="M1271" s="173"/>
      <c r="R1271" s="22"/>
    </row>
    <row r="1272" spans="3:18" ht="13">
      <c r="C1272" s="172"/>
      <c r="D1272" s="172"/>
      <c r="L1272" s="64"/>
      <c r="M1272" s="173"/>
      <c r="R1272" s="22"/>
    </row>
    <row r="1273" spans="3:18" ht="13">
      <c r="C1273" s="172"/>
      <c r="D1273" s="172"/>
      <c r="L1273" s="64"/>
      <c r="M1273" s="173"/>
      <c r="R1273" s="22"/>
    </row>
    <row r="1274" spans="3:18" ht="13">
      <c r="C1274" s="172"/>
      <c r="D1274" s="172"/>
      <c r="L1274" s="64"/>
      <c r="M1274" s="173"/>
      <c r="R1274" s="22"/>
    </row>
    <row r="1275" spans="3:18" ht="13">
      <c r="C1275" s="172"/>
      <c r="D1275" s="172"/>
      <c r="L1275" s="64"/>
      <c r="M1275" s="173"/>
      <c r="R1275" s="22"/>
    </row>
    <row r="1276" spans="3:18" ht="13">
      <c r="C1276" s="172"/>
      <c r="D1276" s="172"/>
      <c r="L1276" s="64"/>
      <c r="M1276" s="173"/>
      <c r="R1276" s="22"/>
    </row>
    <row r="1277" spans="3:18" ht="13">
      <c r="C1277" s="172"/>
      <c r="D1277" s="172"/>
      <c r="L1277" s="64"/>
      <c r="M1277" s="173"/>
      <c r="R1277" s="22"/>
    </row>
    <row r="1278" spans="3:18" ht="13">
      <c r="C1278" s="172"/>
      <c r="D1278" s="172"/>
      <c r="L1278" s="64"/>
      <c r="M1278" s="173"/>
      <c r="R1278" s="22"/>
    </row>
    <row r="1279" spans="3:18" ht="13">
      <c r="C1279" s="172"/>
      <c r="D1279" s="172"/>
      <c r="L1279" s="64"/>
      <c r="M1279" s="173"/>
      <c r="R1279" s="22"/>
    </row>
    <row r="1280" spans="3:18" ht="13">
      <c r="C1280" s="172"/>
      <c r="D1280" s="172"/>
      <c r="L1280" s="64"/>
      <c r="M1280" s="173"/>
      <c r="R1280" s="22"/>
    </row>
    <row r="1281" spans="3:18" ht="13">
      <c r="C1281" s="172"/>
      <c r="D1281" s="172"/>
      <c r="L1281" s="64"/>
      <c r="M1281" s="173"/>
      <c r="R1281" s="22"/>
    </row>
    <row r="1282" spans="3:18" ht="13">
      <c r="C1282" s="172"/>
      <c r="D1282" s="172"/>
      <c r="L1282" s="64"/>
      <c r="M1282" s="173"/>
      <c r="R1282" s="22"/>
    </row>
    <row r="1283" spans="3:18" ht="13">
      <c r="C1283" s="172"/>
      <c r="D1283" s="172"/>
      <c r="L1283" s="64"/>
      <c r="M1283" s="173"/>
      <c r="R1283" s="22"/>
    </row>
    <row r="1284" spans="3:18" ht="13">
      <c r="C1284" s="172"/>
      <c r="D1284" s="172"/>
      <c r="L1284" s="64"/>
      <c r="M1284" s="173"/>
      <c r="R1284" s="22"/>
    </row>
    <row r="1285" spans="3:18" ht="13">
      <c r="C1285" s="172"/>
      <c r="D1285" s="172"/>
      <c r="L1285" s="64"/>
      <c r="M1285" s="173"/>
      <c r="R1285" s="22"/>
    </row>
    <row r="1286" spans="3:18" ht="13">
      <c r="C1286" s="172"/>
      <c r="D1286" s="172"/>
      <c r="L1286" s="64"/>
      <c r="M1286" s="173"/>
      <c r="R1286" s="22"/>
    </row>
    <row r="1287" spans="3:18" ht="13">
      <c r="C1287" s="172"/>
      <c r="D1287" s="172"/>
      <c r="L1287" s="64"/>
      <c r="M1287" s="173"/>
      <c r="R1287" s="22"/>
    </row>
    <row r="1288" spans="3:18" ht="13">
      <c r="C1288" s="172"/>
      <c r="D1288" s="172"/>
      <c r="L1288" s="64"/>
      <c r="M1288" s="173"/>
      <c r="R1288" s="22"/>
    </row>
    <row r="1289" spans="3:18" ht="13">
      <c r="C1289" s="172"/>
      <c r="D1289" s="172"/>
      <c r="L1289" s="64"/>
      <c r="M1289" s="173"/>
      <c r="R1289" s="22"/>
    </row>
    <row r="1290" spans="3:18" ht="13">
      <c r="C1290" s="172"/>
      <c r="D1290" s="172"/>
      <c r="L1290" s="64"/>
      <c r="M1290" s="173"/>
      <c r="R1290" s="22"/>
    </row>
    <row r="1291" spans="3:18" ht="13">
      <c r="C1291" s="172"/>
      <c r="D1291" s="172"/>
      <c r="L1291" s="64"/>
      <c r="M1291" s="173"/>
      <c r="R1291" s="22"/>
    </row>
    <row r="1292" spans="3:18" ht="13">
      <c r="C1292" s="172"/>
      <c r="D1292" s="172"/>
      <c r="L1292" s="64"/>
      <c r="M1292" s="173"/>
      <c r="R1292" s="22"/>
    </row>
    <row r="1293" spans="3:18" ht="13">
      <c r="C1293" s="172"/>
      <c r="D1293" s="172"/>
      <c r="L1293" s="64"/>
      <c r="M1293" s="173"/>
      <c r="R1293" s="22"/>
    </row>
    <row r="1294" spans="3:18" ht="13">
      <c r="C1294" s="172"/>
      <c r="D1294" s="172"/>
      <c r="L1294" s="64"/>
      <c r="M1294" s="173"/>
      <c r="R1294" s="22"/>
    </row>
    <row r="1295" spans="3:18" ht="13">
      <c r="C1295" s="172"/>
      <c r="D1295" s="172"/>
      <c r="L1295" s="64"/>
      <c r="M1295" s="173"/>
      <c r="R1295" s="22"/>
    </row>
    <row r="1296" spans="3:18" ht="13">
      <c r="C1296" s="172"/>
      <c r="D1296" s="172"/>
      <c r="L1296" s="64"/>
      <c r="M1296" s="173"/>
      <c r="R1296" s="22"/>
    </row>
    <row r="1297" spans="3:18" ht="13">
      <c r="C1297" s="172"/>
      <c r="D1297" s="172"/>
      <c r="L1297" s="64"/>
      <c r="M1297" s="173"/>
      <c r="R1297" s="22"/>
    </row>
    <row r="1298" spans="3:18" ht="13">
      <c r="C1298" s="172"/>
      <c r="D1298" s="172"/>
      <c r="L1298" s="64"/>
      <c r="M1298" s="173"/>
      <c r="R1298" s="22"/>
    </row>
    <row r="1299" spans="3:18" ht="13">
      <c r="C1299" s="172"/>
      <c r="D1299" s="172"/>
      <c r="L1299" s="64"/>
      <c r="M1299" s="173"/>
      <c r="R1299" s="22"/>
    </row>
    <row r="1300" spans="3:18" ht="13">
      <c r="C1300" s="172"/>
      <c r="D1300" s="172"/>
      <c r="L1300" s="64"/>
      <c r="M1300" s="173"/>
      <c r="R1300" s="22"/>
    </row>
    <row r="1301" spans="3:18" ht="13">
      <c r="C1301" s="172"/>
      <c r="D1301" s="172"/>
      <c r="L1301" s="64"/>
      <c r="M1301" s="173"/>
      <c r="R1301" s="22"/>
    </row>
    <row r="1302" spans="3:18" ht="13">
      <c r="C1302" s="172"/>
      <c r="D1302" s="172"/>
      <c r="L1302" s="64"/>
      <c r="M1302" s="173"/>
      <c r="R1302" s="22"/>
    </row>
    <row r="1303" spans="3:18" ht="13">
      <c r="C1303" s="172"/>
      <c r="D1303" s="172"/>
      <c r="L1303" s="64"/>
      <c r="M1303" s="173"/>
      <c r="R1303" s="22"/>
    </row>
    <row r="1304" spans="3:18" ht="13">
      <c r="C1304" s="172"/>
      <c r="D1304" s="172"/>
      <c r="L1304" s="64"/>
      <c r="M1304" s="173"/>
      <c r="R1304" s="22"/>
    </row>
    <row r="1305" spans="3:18" ht="13">
      <c r="C1305" s="172"/>
      <c r="D1305" s="172"/>
      <c r="L1305" s="64"/>
      <c r="M1305" s="173"/>
      <c r="R1305" s="22"/>
    </row>
    <row r="1306" spans="3:18" ht="13">
      <c r="C1306" s="172"/>
      <c r="D1306" s="172"/>
      <c r="L1306" s="64"/>
      <c r="M1306" s="173"/>
      <c r="R1306" s="22"/>
    </row>
    <row r="1307" spans="3:18" ht="13">
      <c r="C1307" s="172"/>
      <c r="D1307" s="172"/>
      <c r="L1307" s="64"/>
      <c r="M1307" s="173"/>
      <c r="R1307" s="22"/>
    </row>
    <row r="1308" spans="3:18" ht="13">
      <c r="C1308" s="172"/>
      <c r="D1308" s="172"/>
      <c r="L1308" s="64"/>
      <c r="M1308" s="173"/>
      <c r="R1308" s="22"/>
    </row>
    <row r="1309" spans="3:18" ht="13">
      <c r="C1309" s="172"/>
      <c r="D1309" s="172"/>
      <c r="L1309" s="64"/>
      <c r="M1309" s="173"/>
      <c r="R1309" s="22"/>
    </row>
    <row r="1310" spans="3:18" ht="13">
      <c r="C1310" s="172"/>
      <c r="D1310" s="172"/>
      <c r="L1310" s="64"/>
      <c r="M1310" s="173"/>
      <c r="R1310" s="22"/>
    </row>
    <row r="1311" spans="3:18" ht="13">
      <c r="C1311" s="172"/>
      <c r="D1311" s="172"/>
      <c r="L1311" s="64"/>
      <c r="M1311" s="173"/>
      <c r="R1311" s="22"/>
    </row>
    <row r="1312" spans="3:18" ht="13">
      <c r="C1312" s="172"/>
      <c r="D1312" s="172"/>
      <c r="L1312" s="64"/>
      <c r="M1312" s="173"/>
      <c r="R1312" s="22"/>
    </row>
    <row r="1313" spans="3:18" ht="13">
      <c r="C1313" s="172"/>
      <c r="D1313" s="172"/>
      <c r="L1313" s="64"/>
      <c r="M1313" s="173"/>
      <c r="R1313" s="22"/>
    </row>
    <row r="1314" spans="3:18" ht="13">
      <c r="C1314" s="172"/>
      <c r="D1314" s="172"/>
      <c r="L1314" s="64"/>
      <c r="M1314" s="173"/>
      <c r="R1314" s="22"/>
    </row>
    <row r="1315" spans="3:18" ht="13">
      <c r="C1315" s="172"/>
      <c r="D1315" s="172"/>
      <c r="L1315" s="64"/>
      <c r="M1315" s="173"/>
      <c r="R1315" s="22"/>
    </row>
    <row r="1316" spans="3:18" ht="13">
      <c r="C1316" s="172"/>
      <c r="D1316" s="172"/>
      <c r="L1316" s="64"/>
      <c r="M1316" s="173"/>
      <c r="R1316" s="22"/>
    </row>
    <row r="1317" spans="3:18" ht="13">
      <c r="C1317" s="172"/>
      <c r="D1317" s="172"/>
      <c r="L1317" s="64"/>
      <c r="M1317" s="173"/>
      <c r="R1317" s="22"/>
    </row>
    <row r="1318" spans="3:18" ht="13">
      <c r="C1318" s="172"/>
      <c r="D1318" s="172"/>
      <c r="L1318" s="64"/>
      <c r="M1318" s="173"/>
      <c r="R1318" s="22"/>
    </row>
    <row r="1319" spans="3:18" ht="13">
      <c r="C1319" s="172"/>
      <c r="D1319" s="172"/>
      <c r="L1319" s="64"/>
      <c r="M1319" s="173"/>
      <c r="R1319" s="22"/>
    </row>
    <row r="1320" spans="3:18" ht="13">
      <c r="C1320" s="172"/>
      <c r="D1320" s="172"/>
      <c r="L1320" s="64"/>
      <c r="M1320" s="173"/>
      <c r="R1320" s="22"/>
    </row>
    <row r="1321" spans="3:18" ht="13">
      <c r="C1321" s="172"/>
      <c r="D1321" s="172"/>
      <c r="L1321" s="64"/>
      <c r="M1321" s="173"/>
      <c r="R1321" s="22"/>
    </row>
    <row r="1322" spans="3:18" ht="13">
      <c r="C1322" s="172"/>
      <c r="D1322" s="172"/>
      <c r="L1322" s="64"/>
      <c r="M1322" s="173"/>
      <c r="R1322" s="22"/>
    </row>
    <row r="1323" spans="3:18" ht="13">
      <c r="C1323" s="172"/>
      <c r="D1323" s="172"/>
      <c r="L1323" s="64"/>
      <c r="M1323" s="173"/>
      <c r="R1323" s="22"/>
    </row>
    <row r="1324" spans="3:18" ht="13">
      <c r="C1324" s="172"/>
      <c r="D1324" s="172"/>
      <c r="L1324" s="64"/>
      <c r="M1324" s="173"/>
      <c r="R1324" s="22"/>
    </row>
    <row r="1325" spans="3:18" ht="13">
      <c r="C1325" s="172"/>
      <c r="D1325" s="172"/>
      <c r="L1325" s="64"/>
      <c r="M1325" s="173"/>
      <c r="R1325" s="22"/>
    </row>
    <row r="1326" spans="3:18" ht="13">
      <c r="C1326" s="172"/>
      <c r="D1326" s="172"/>
      <c r="L1326" s="64"/>
      <c r="M1326" s="173"/>
      <c r="R1326" s="22"/>
    </row>
    <row r="1327" spans="3:18" ht="13">
      <c r="C1327" s="172"/>
      <c r="D1327" s="172"/>
      <c r="L1327" s="64"/>
      <c r="M1327" s="173"/>
      <c r="R1327" s="22"/>
    </row>
    <row r="1328" spans="3:18" ht="13">
      <c r="C1328" s="172"/>
      <c r="D1328" s="172"/>
      <c r="L1328" s="64"/>
      <c r="M1328" s="173"/>
      <c r="R1328" s="22"/>
    </row>
    <row r="1329" spans="3:18" ht="13">
      <c r="C1329" s="172"/>
      <c r="D1329" s="172"/>
      <c r="L1329" s="64"/>
      <c r="M1329" s="173"/>
      <c r="R1329" s="22"/>
    </row>
    <row r="1330" spans="3:18" ht="13">
      <c r="C1330" s="172"/>
      <c r="D1330" s="172"/>
      <c r="L1330" s="64"/>
      <c r="M1330" s="173"/>
      <c r="R1330" s="22"/>
    </row>
    <row r="1331" spans="3:18" ht="13">
      <c r="C1331" s="172"/>
      <c r="D1331" s="172"/>
      <c r="L1331" s="64"/>
      <c r="M1331" s="173"/>
      <c r="R1331" s="22"/>
    </row>
    <row r="1332" spans="3:18" ht="13">
      <c r="C1332" s="172"/>
      <c r="D1332" s="172"/>
      <c r="L1332" s="64"/>
      <c r="M1332" s="173"/>
      <c r="R1332" s="22"/>
    </row>
    <row r="1333" spans="3:18" ht="13">
      <c r="C1333" s="172"/>
      <c r="D1333" s="172"/>
      <c r="L1333" s="64"/>
      <c r="M1333" s="173"/>
      <c r="R1333" s="22"/>
    </row>
    <row r="1334" spans="3:18" ht="13">
      <c r="C1334" s="172"/>
      <c r="D1334" s="172"/>
      <c r="L1334" s="64"/>
      <c r="M1334" s="173"/>
      <c r="R1334" s="22"/>
    </row>
    <row r="1335" spans="3:18" ht="13">
      <c r="C1335" s="172"/>
      <c r="D1335" s="172"/>
      <c r="L1335" s="64"/>
      <c r="M1335" s="173"/>
      <c r="R1335" s="22"/>
    </row>
    <row r="1336" spans="3:18" ht="13">
      <c r="C1336" s="172"/>
      <c r="D1336" s="172"/>
      <c r="L1336" s="64"/>
      <c r="M1336" s="173"/>
      <c r="R1336" s="22"/>
    </row>
    <row r="1337" spans="3:18" ht="13">
      <c r="C1337" s="172"/>
      <c r="D1337" s="172"/>
      <c r="L1337" s="64"/>
      <c r="M1337" s="173"/>
      <c r="R1337" s="22"/>
    </row>
    <row r="1338" spans="3:18" ht="13">
      <c r="C1338" s="172"/>
      <c r="D1338" s="172"/>
      <c r="L1338" s="64"/>
      <c r="M1338" s="173"/>
      <c r="R1338" s="22"/>
    </row>
  </sheetData>
  <autoFilter ref="B7:Q780" xr:uid="{00000000-0009-0000-0000-000002000000}"/>
  <mergeCells count="9">
    <mergeCell ref="E5:F5"/>
    <mergeCell ref="G777:H777"/>
    <mergeCell ref="D1:Q1"/>
    <mergeCell ref="D2:Q2"/>
    <mergeCell ref="D3:O3"/>
    <mergeCell ref="D4:O4"/>
    <mergeCell ref="Q4:Q5"/>
    <mergeCell ref="K5:N5"/>
    <mergeCell ref="D6:E6"/>
  </mergeCells>
  <dataValidations count="1">
    <dataValidation type="list" allowBlank="1" showErrorMessage="1" sqref="C7:Q7" xr:uid="{00000000-0002-0000-0200-000000000000}">
      <formula1>"B.XẾP,C.phí,Cđường,Đơn giá,ghi chú,Mã,Ngày,Ngày Nộp HĐ,Nơi giao,SỐ HÓA ĐƠN,Số xe,TÀI,TẤN,Thành tiền"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219"/>
  <sheetViews>
    <sheetView topLeftCell="A5" workbookViewId="0"/>
  </sheetViews>
  <sheetFormatPr baseColWidth="10" defaultColWidth="12.6640625" defaultRowHeight="15.75" customHeight="1"/>
  <cols>
    <col min="1" max="1" width="7.1640625" customWidth="1"/>
    <col min="2" max="2" width="6.1640625" customWidth="1"/>
    <col min="3" max="3" width="10.1640625" customWidth="1"/>
    <col min="5" max="5" width="10" customWidth="1"/>
    <col min="6" max="6" width="33.6640625" customWidth="1"/>
    <col min="9" max="9" width="16.5" customWidth="1"/>
    <col min="12" max="12" width="19" customWidth="1"/>
    <col min="14" max="14" width="11" customWidth="1"/>
    <col min="16" max="16" width="22" customWidth="1"/>
    <col min="17" max="28" width="12.6640625" hidden="1"/>
  </cols>
  <sheetData>
    <row r="1" spans="1:28" ht="16" hidden="1">
      <c r="A1" s="174"/>
      <c r="B1" s="175"/>
      <c r="C1" s="175"/>
      <c r="D1" s="264" t="s">
        <v>2077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70"/>
      <c r="Q1" s="177"/>
      <c r="R1" s="177"/>
      <c r="S1" s="177"/>
      <c r="T1" s="177"/>
      <c r="U1" s="177"/>
      <c r="V1" s="22"/>
      <c r="W1" s="22"/>
      <c r="X1" s="22"/>
      <c r="Y1" s="22"/>
      <c r="Z1" s="22"/>
      <c r="AA1" s="22"/>
      <c r="AB1" s="22"/>
    </row>
    <row r="2" spans="1:28" ht="16" hidden="1">
      <c r="A2" s="174"/>
      <c r="B2" s="178"/>
      <c r="C2" s="178"/>
      <c r="D2" s="265">
        <v>46141</v>
      </c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179"/>
      <c r="Q2" s="177"/>
      <c r="R2" s="177"/>
      <c r="S2" s="177"/>
      <c r="T2" s="177"/>
      <c r="U2" s="177"/>
      <c r="V2" s="22"/>
      <c r="W2" s="22"/>
      <c r="X2" s="22"/>
      <c r="Y2" s="22"/>
      <c r="Z2" s="22"/>
      <c r="AA2" s="22"/>
      <c r="AB2" s="22"/>
    </row>
    <row r="3" spans="1:28" ht="16" hidden="1">
      <c r="A3" s="174"/>
      <c r="B3" s="178"/>
      <c r="C3" s="178"/>
      <c r="D3" s="180" t="s">
        <v>1441</v>
      </c>
      <c r="E3" s="181"/>
      <c r="F3" s="181"/>
      <c r="G3" s="264" t="s">
        <v>2078</v>
      </c>
      <c r="H3" s="253"/>
      <c r="I3" s="253"/>
      <c r="J3" s="253"/>
      <c r="K3" s="266"/>
      <c r="L3" s="253"/>
      <c r="M3" s="176"/>
      <c r="N3" s="181"/>
      <c r="O3" s="181"/>
      <c r="P3" s="71"/>
      <c r="Q3" s="177"/>
      <c r="R3" s="177"/>
      <c r="S3" s="177"/>
      <c r="T3" s="177"/>
      <c r="U3" s="177"/>
      <c r="V3" s="22"/>
      <c r="W3" s="22"/>
      <c r="X3" s="22"/>
      <c r="Y3" s="22"/>
      <c r="Z3" s="22"/>
      <c r="AA3" s="22"/>
      <c r="AB3" s="22"/>
    </row>
    <row r="4" spans="1:28" ht="16" hidden="1">
      <c r="A4" s="174"/>
      <c r="B4" s="182"/>
      <c r="C4" s="182"/>
      <c r="D4" s="183"/>
      <c r="E4" s="184"/>
      <c r="F4" s="184" t="e">
        <v>#N/A</v>
      </c>
      <c r="G4" s="185"/>
      <c r="H4" s="185"/>
      <c r="I4" s="185"/>
      <c r="J4" s="185"/>
      <c r="K4" s="186">
        <v>2</v>
      </c>
      <c r="L4" s="186">
        <v>2</v>
      </c>
      <c r="M4" s="186"/>
      <c r="N4" s="184" t="e">
        <v>#N/A</v>
      </c>
      <c r="O4" s="181"/>
      <c r="P4" s="71"/>
      <c r="Q4" s="177"/>
      <c r="R4" s="177"/>
      <c r="S4" s="177"/>
      <c r="T4" s="177"/>
      <c r="U4" s="177"/>
      <c r="V4" s="22"/>
      <c r="W4" s="22"/>
      <c r="X4" s="22"/>
      <c r="Y4" s="22"/>
      <c r="Z4" s="22"/>
      <c r="AA4" s="22"/>
      <c r="AB4" s="22"/>
    </row>
    <row r="5" spans="1:28" ht="16">
      <c r="A5" s="187" t="s">
        <v>2079</v>
      </c>
      <c r="B5" s="188" t="s">
        <v>2080</v>
      </c>
      <c r="C5" s="189" t="s">
        <v>2081</v>
      </c>
      <c r="D5" s="188" t="s">
        <v>1446</v>
      </c>
      <c r="E5" s="188" t="s">
        <v>2082</v>
      </c>
      <c r="F5" s="188" t="s">
        <v>1448</v>
      </c>
      <c r="G5" s="188" t="s">
        <v>2083</v>
      </c>
      <c r="H5" s="188" t="s">
        <v>2084</v>
      </c>
      <c r="I5" s="188" t="s">
        <v>2085</v>
      </c>
      <c r="J5" s="188" t="s">
        <v>1450</v>
      </c>
      <c r="K5" s="188" t="s">
        <v>2086</v>
      </c>
      <c r="L5" s="188" t="s">
        <v>1450</v>
      </c>
      <c r="M5" s="188" t="s">
        <v>1454</v>
      </c>
      <c r="N5" s="188" t="s">
        <v>1455</v>
      </c>
      <c r="O5" s="188" t="s">
        <v>1456</v>
      </c>
      <c r="P5" s="188" t="s">
        <v>2087</v>
      </c>
      <c r="Q5" s="177"/>
      <c r="R5" s="177"/>
      <c r="S5" s="177"/>
      <c r="T5" s="177"/>
      <c r="U5" s="177"/>
      <c r="V5" s="22"/>
      <c r="W5" s="22"/>
      <c r="X5" s="22"/>
      <c r="Y5" s="22"/>
      <c r="Z5" s="22"/>
      <c r="AA5" s="22"/>
      <c r="AB5" s="22"/>
    </row>
    <row r="6" spans="1:28" ht="16">
      <c r="A6" s="190">
        <v>1</v>
      </c>
      <c r="B6" s="191" t="s">
        <v>202</v>
      </c>
      <c r="C6" s="191" t="s">
        <v>32</v>
      </c>
      <c r="D6" s="192">
        <v>46174</v>
      </c>
      <c r="E6" s="193" t="str">
        <f>VLOOKUP($C6,xe!$A:$B,2,0)</f>
        <v>50E-648.73</v>
      </c>
      <c r="F6" s="194" t="str">
        <f>VLOOKUP($B6,ma!$A:$B,2,0)</f>
        <v>QUANG XUÂN TRƯỜNG P.GIÁO</v>
      </c>
      <c r="G6" s="195"/>
      <c r="H6" s="195"/>
      <c r="I6" s="196"/>
      <c r="J6" s="195"/>
      <c r="K6" s="196"/>
      <c r="L6" s="195"/>
      <c r="M6" s="197"/>
      <c r="N6" s="198">
        <f>VLOOKUP($B6,ma!$A:$C,3,0)</f>
        <v>230000</v>
      </c>
      <c r="O6" s="198">
        <f t="shared" ref="O6:O252" si="0">M6*N6</f>
        <v>0</v>
      </c>
      <c r="P6" s="198">
        <f t="shared" ref="P6:P13" si="1">O6*10%</f>
        <v>0</v>
      </c>
      <c r="Q6" s="177"/>
      <c r="R6" s="177"/>
      <c r="S6" s="177"/>
      <c r="T6" s="177"/>
      <c r="U6" s="177"/>
      <c r="V6" s="22"/>
      <c r="W6" s="22"/>
      <c r="X6" s="22"/>
      <c r="Y6" s="22"/>
      <c r="Z6" s="22"/>
      <c r="AA6" s="22"/>
      <c r="AB6" s="22"/>
    </row>
    <row r="7" spans="1:28" ht="16">
      <c r="A7" s="190">
        <f t="shared" ref="A7:A66" si="2">A6+1</f>
        <v>2</v>
      </c>
      <c r="B7" s="191" t="s">
        <v>113</v>
      </c>
      <c r="C7" s="191" t="s">
        <v>34</v>
      </c>
      <c r="D7" s="192">
        <v>46174</v>
      </c>
      <c r="E7" s="199" t="str">
        <f>VLOOKUP($C7,xe!$A:$B,2,0)</f>
        <v>50E-654.34</v>
      </c>
      <c r="F7" s="194" t="str">
        <f>VLOOKUP($B7,ma!$A:$B,2,0)</f>
        <v>PHAN MINH VŨ-BIÊN HOÀ XÁ</v>
      </c>
      <c r="G7" s="195"/>
      <c r="H7" s="195"/>
      <c r="I7" s="196"/>
      <c r="J7" s="195"/>
      <c r="K7" s="196"/>
      <c r="L7" s="195"/>
      <c r="M7" s="197">
        <v>13.93</v>
      </c>
      <c r="N7" s="198">
        <f>VLOOKUP($B7,ma!$A:$C,3,0)</f>
        <v>238000</v>
      </c>
      <c r="O7" s="198">
        <f t="shared" si="0"/>
        <v>3315340</v>
      </c>
      <c r="P7" s="198">
        <f t="shared" si="1"/>
        <v>331534</v>
      </c>
      <c r="Q7" s="177"/>
      <c r="R7" s="177"/>
      <c r="S7" s="177"/>
      <c r="T7" s="177"/>
      <c r="U7" s="177"/>
      <c r="V7" s="22"/>
      <c r="W7" s="22"/>
      <c r="X7" s="22"/>
      <c r="Y7" s="22"/>
      <c r="Z7" s="22"/>
      <c r="AA7" s="22"/>
      <c r="AB7" s="22"/>
    </row>
    <row r="8" spans="1:28" ht="16">
      <c r="A8" s="190">
        <f t="shared" si="2"/>
        <v>3</v>
      </c>
      <c r="B8" s="191" t="s">
        <v>134</v>
      </c>
      <c r="C8" s="191" t="s">
        <v>36</v>
      </c>
      <c r="D8" s="192">
        <v>46174</v>
      </c>
      <c r="E8" s="199" t="str">
        <f>VLOOKUP($C8,xe!$A:$B,2,0)</f>
        <v>50E-324,01</v>
      </c>
      <c r="F8" s="194" t="str">
        <f>VLOOKUP($B8,ma!$A:$B,2,0)</f>
        <v>TUẤN LỘC Q7 XÁ</v>
      </c>
      <c r="G8" s="195"/>
      <c r="H8" s="195"/>
      <c r="I8" s="196"/>
      <c r="J8" s="195"/>
      <c r="K8" s="196"/>
      <c r="L8" s="195"/>
      <c r="M8" s="197">
        <v>15.41</v>
      </c>
      <c r="N8" s="198">
        <f>VLOOKUP($B8,ma!$A:$C,3,0)</f>
        <v>200000</v>
      </c>
      <c r="O8" s="198">
        <f t="shared" si="0"/>
        <v>3082000</v>
      </c>
      <c r="P8" s="198">
        <f t="shared" si="1"/>
        <v>308200</v>
      </c>
      <c r="Q8" s="177"/>
      <c r="R8" s="177"/>
      <c r="S8" s="177"/>
      <c r="T8" s="177"/>
      <c r="U8" s="177"/>
      <c r="V8" s="22"/>
      <c r="W8" s="22"/>
      <c r="X8" s="22"/>
      <c r="Y8" s="22"/>
      <c r="Z8" s="22"/>
      <c r="AA8" s="22"/>
      <c r="AB8" s="22"/>
    </row>
    <row r="9" spans="1:28" ht="16">
      <c r="A9" s="190">
        <f t="shared" si="2"/>
        <v>4</v>
      </c>
      <c r="B9" s="191" t="s">
        <v>101</v>
      </c>
      <c r="C9" s="191" t="s">
        <v>38</v>
      </c>
      <c r="D9" s="192">
        <v>46174</v>
      </c>
      <c r="E9" s="199" t="str">
        <f>VLOOKUP($C9,xe!$A:$B,2,0)</f>
        <v>50H-87055</v>
      </c>
      <c r="F9" s="194" t="str">
        <f>VLOOKUP($B9,ma!$A:$B,2,0)</f>
        <v>PHẠM ANH QUẬN 6 XÁ</v>
      </c>
      <c r="G9" s="195"/>
      <c r="H9" s="195"/>
      <c r="I9" s="196"/>
      <c r="J9" s="195"/>
      <c r="K9" s="196"/>
      <c r="L9" s="195"/>
      <c r="M9" s="197">
        <v>13.8</v>
      </c>
      <c r="N9" s="198">
        <f>VLOOKUP($B9,ma!$A:$C,3,0)</f>
        <v>200000</v>
      </c>
      <c r="O9" s="198">
        <f t="shared" si="0"/>
        <v>2760000</v>
      </c>
      <c r="P9" s="198">
        <f t="shared" si="1"/>
        <v>276000</v>
      </c>
      <c r="Q9" s="177"/>
      <c r="R9" s="177"/>
      <c r="S9" s="177"/>
      <c r="T9" s="177"/>
      <c r="U9" s="177"/>
      <c r="V9" s="22"/>
      <c r="W9" s="22"/>
      <c r="X9" s="22"/>
      <c r="Y9" s="22"/>
      <c r="Z9" s="22"/>
      <c r="AA9" s="22"/>
      <c r="AB9" s="22"/>
    </row>
    <row r="10" spans="1:28" ht="16">
      <c r="A10" s="190">
        <f t="shared" si="2"/>
        <v>5</v>
      </c>
      <c r="B10" s="191" t="s">
        <v>136</v>
      </c>
      <c r="C10" s="191" t="s">
        <v>44</v>
      </c>
      <c r="D10" s="192">
        <v>46174</v>
      </c>
      <c r="E10" s="199" t="str">
        <f>VLOOKUP($C10,xe!$A:$B,2,0)</f>
        <v>50H-66347</v>
      </c>
      <c r="F10" s="194" t="str">
        <f>VLOOKUP($B10,ma!$A:$B,2,0)</f>
        <v>TUẤN LỘC Q7 PALLET</v>
      </c>
      <c r="G10" s="195"/>
      <c r="H10" s="195"/>
      <c r="I10" s="196"/>
      <c r="J10" s="195"/>
      <c r="K10" s="196"/>
      <c r="L10" s="195"/>
      <c r="M10" s="197">
        <v>11.15</v>
      </c>
      <c r="N10" s="198">
        <f>VLOOKUP($B10,ma!$A:$C,3,0)</f>
        <v>200000</v>
      </c>
      <c r="O10" s="198">
        <f t="shared" si="0"/>
        <v>2230000</v>
      </c>
      <c r="P10" s="198">
        <f t="shared" si="1"/>
        <v>223000</v>
      </c>
      <c r="Q10" s="177"/>
      <c r="R10" s="177"/>
      <c r="S10" s="177"/>
      <c r="T10" s="177"/>
      <c r="U10" s="177"/>
      <c r="V10" s="22"/>
      <c r="W10" s="22"/>
      <c r="X10" s="22"/>
      <c r="Y10" s="22"/>
      <c r="Z10" s="22"/>
      <c r="AA10" s="22"/>
      <c r="AB10" s="22"/>
    </row>
    <row r="11" spans="1:28" ht="16">
      <c r="A11" s="200">
        <f t="shared" si="2"/>
        <v>6</v>
      </c>
      <c r="B11" s="201" t="s">
        <v>2088</v>
      </c>
      <c r="C11" s="201" t="s">
        <v>32</v>
      </c>
      <c r="D11" s="202">
        <v>46175</v>
      </c>
      <c r="E11" s="203" t="str">
        <f>VLOOKUP($C11,xe!$A:$B,2,0)</f>
        <v>50E-648.73</v>
      </c>
      <c r="F11" s="204" t="str">
        <f>VLOOKUP($B11,ma!$A:$B,2,0)</f>
        <v>QUẬN 8 XÁ</v>
      </c>
      <c r="G11" s="205"/>
      <c r="H11" s="205"/>
      <c r="I11" s="206"/>
      <c r="J11" s="205"/>
      <c r="K11" s="206"/>
      <c r="L11" s="205"/>
      <c r="M11" s="207">
        <v>9.1199999999999992</v>
      </c>
      <c r="N11" s="208">
        <f>VLOOKUP($B11,ma!$A:$C,3,0)</f>
        <v>200000</v>
      </c>
      <c r="O11" s="208">
        <f t="shared" si="0"/>
        <v>1823999.9999999998</v>
      </c>
      <c r="P11" s="208">
        <f t="shared" si="1"/>
        <v>182400</v>
      </c>
      <c r="Q11" s="209"/>
      <c r="R11" s="209"/>
      <c r="S11" s="209"/>
      <c r="T11" s="209"/>
      <c r="U11" s="209"/>
      <c r="V11" s="210"/>
      <c r="W11" s="210"/>
      <c r="X11" s="210"/>
      <c r="Y11" s="210"/>
      <c r="Z11" s="210"/>
      <c r="AA11" s="210"/>
      <c r="AB11" s="210"/>
    </row>
    <row r="12" spans="1:28" ht="16">
      <c r="A12" s="190">
        <f t="shared" si="2"/>
        <v>7</v>
      </c>
      <c r="B12" s="191" t="s">
        <v>109</v>
      </c>
      <c r="C12" s="191" t="s">
        <v>2089</v>
      </c>
      <c r="D12" s="192">
        <v>46175</v>
      </c>
      <c r="E12" s="199" t="str">
        <f>VLOOKUP($C12,xe!$A:$B,2,0)</f>
        <v>50E-654.34</v>
      </c>
      <c r="F12" s="194" t="str">
        <f>VLOOKUP($B12,ma!$A:$B,2,0)</f>
        <v>QUẬN 9 XÁ</v>
      </c>
      <c r="G12" s="195"/>
      <c r="H12" s="195"/>
      <c r="I12" s="196"/>
      <c r="J12" s="195"/>
      <c r="K12" s="196"/>
      <c r="L12" s="195"/>
      <c r="M12" s="197">
        <v>14.47</v>
      </c>
      <c r="N12" s="198">
        <f>VLOOKUP($B12,ma!$A:$C,3,0)</f>
        <v>200000</v>
      </c>
      <c r="O12" s="198">
        <f t="shared" si="0"/>
        <v>2894000</v>
      </c>
      <c r="P12" s="198">
        <f t="shared" si="1"/>
        <v>289400</v>
      </c>
      <c r="Q12" s="177"/>
      <c r="R12" s="177"/>
      <c r="S12" s="177"/>
      <c r="T12" s="177"/>
      <c r="U12" s="177"/>
      <c r="V12" s="22"/>
      <c r="W12" s="22"/>
      <c r="X12" s="22"/>
      <c r="Y12" s="22"/>
      <c r="Z12" s="22"/>
      <c r="AA12" s="22"/>
      <c r="AB12" s="22"/>
    </row>
    <row r="13" spans="1:28" ht="16">
      <c r="A13" s="190">
        <f t="shared" si="2"/>
        <v>8</v>
      </c>
      <c r="B13" s="191" t="s">
        <v>109</v>
      </c>
      <c r="C13" s="191" t="s">
        <v>36</v>
      </c>
      <c r="D13" s="192">
        <v>46175</v>
      </c>
      <c r="E13" s="199" t="str">
        <f>VLOOKUP($C13,xe!$A:$B,2,0)</f>
        <v>50E-324,01</v>
      </c>
      <c r="F13" s="194" t="str">
        <f>VLOOKUP($B13,ma!$A:$B,2,0)</f>
        <v>QUẬN 9 XÁ</v>
      </c>
      <c r="G13" s="195"/>
      <c r="H13" s="195"/>
      <c r="I13" s="196"/>
      <c r="J13" s="195"/>
      <c r="K13" s="196"/>
      <c r="L13" s="195"/>
      <c r="M13" s="197">
        <v>13.94</v>
      </c>
      <c r="N13" s="198">
        <f>VLOOKUP($B13,ma!$A:$C,3,0)</f>
        <v>200000</v>
      </c>
      <c r="O13" s="198">
        <f t="shared" si="0"/>
        <v>2788000</v>
      </c>
      <c r="P13" s="198">
        <f t="shared" si="1"/>
        <v>278800</v>
      </c>
      <c r="Q13" s="177"/>
      <c r="R13" s="177"/>
      <c r="S13" s="177"/>
      <c r="T13" s="177"/>
      <c r="U13" s="177"/>
      <c r="V13" s="22"/>
      <c r="W13" s="22"/>
      <c r="X13" s="22"/>
      <c r="Y13" s="22"/>
      <c r="Z13" s="22"/>
      <c r="AA13" s="22"/>
      <c r="AB13" s="22"/>
    </row>
    <row r="14" spans="1:28" ht="16">
      <c r="A14" s="190">
        <f t="shared" si="2"/>
        <v>9</v>
      </c>
      <c r="B14" s="191" t="s">
        <v>2090</v>
      </c>
      <c r="C14" s="191" t="s">
        <v>36</v>
      </c>
      <c r="D14" s="192">
        <v>46175</v>
      </c>
      <c r="E14" s="199" t="str">
        <f>VLOOKUP($C14,xe!$A:$B,2,0)</f>
        <v>50E-324,01</v>
      </c>
      <c r="F14" s="194" t="str">
        <f>VLOOKUP($B14,ma!$A:$B,2,0)</f>
        <v>CALOFIC - UNI ( xe lớn )</v>
      </c>
      <c r="G14" s="195"/>
      <c r="H14" s="195"/>
      <c r="I14" s="196"/>
      <c r="J14" s="195"/>
      <c r="K14" s="196"/>
      <c r="L14" s="195"/>
      <c r="M14" s="197">
        <v>1</v>
      </c>
      <c r="N14" s="198">
        <f>VLOOKUP($B14,ma!$A:$C,3,0)</f>
        <v>400000</v>
      </c>
      <c r="O14" s="198">
        <f t="shared" si="0"/>
        <v>400000</v>
      </c>
      <c r="P14" s="198">
        <v>100000</v>
      </c>
      <c r="Q14" s="209"/>
      <c r="R14" s="209"/>
      <c r="S14" s="209"/>
      <c r="T14" s="209"/>
      <c r="U14" s="209"/>
      <c r="V14" s="210"/>
      <c r="W14" s="210"/>
      <c r="X14" s="210"/>
      <c r="Y14" s="210"/>
      <c r="Z14" s="210"/>
      <c r="AA14" s="210"/>
      <c r="AB14" s="210"/>
    </row>
    <row r="15" spans="1:28" ht="16">
      <c r="A15" s="190">
        <f t="shared" si="2"/>
        <v>10</v>
      </c>
      <c r="B15" s="191" t="s">
        <v>103</v>
      </c>
      <c r="C15" s="191" t="s">
        <v>38</v>
      </c>
      <c r="D15" s="192">
        <v>46175</v>
      </c>
      <c r="E15" s="199" t="str">
        <f>VLOOKUP($C15,xe!$A:$B,2,0)</f>
        <v>50H-87055</v>
      </c>
      <c r="F15" s="194" t="str">
        <f>VLOOKUP($B15,ma!$A:$B,2,0)</f>
        <v>PHẠM ANH QUẬN 6 PALLET</v>
      </c>
      <c r="G15" s="195"/>
      <c r="H15" s="195"/>
      <c r="I15" s="196"/>
      <c r="J15" s="195"/>
      <c r="K15" s="196"/>
      <c r="L15" s="195"/>
      <c r="M15" s="197">
        <v>12.71</v>
      </c>
      <c r="N15" s="198">
        <f>VLOOKUP($B15,ma!$A:$C,3,0)</f>
        <v>200000</v>
      </c>
      <c r="O15" s="198">
        <f t="shared" si="0"/>
        <v>2542000</v>
      </c>
      <c r="P15" s="198">
        <f t="shared" ref="P15:P35" si="3">O15*10%</f>
        <v>254200</v>
      </c>
      <c r="Q15" s="177"/>
      <c r="R15" s="177"/>
      <c r="S15" s="177"/>
      <c r="T15" s="177"/>
      <c r="U15" s="177"/>
      <c r="V15" s="22"/>
      <c r="W15" s="22"/>
      <c r="X15" s="22"/>
      <c r="Y15" s="22"/>
      <c r="Z15" s="22"/>
      <c r="AA15" s="22"/>
      <c r="AB15" s="22"/>
    </row>
    <row r="16" spans="1:28" ht="16">
      <c r="A16" s="190">
        <f t="shared" si="2"/>
        <v>11</v>
      </c>
      <c r="B16" s="191" t="s">
        <v>136</v>
      </c>
      <c r="C16" s="191" t="s">
        <v>42</v>
      </c>
      <c r="D16" s="192">
        <v>46175</v>
      </c>
      <c r="E16" s="199" t="str">
        <f>VLOOKUP($C16,xe!$A:$B,2,0)</f>
        <v>50H-75206</v>
      </c>
      <c r="F16" s="194" t="str">
        <f>VLOOKUP($B16,ma!$A:$B,2,0)</f>
        <v>TUẤN LỘC Q7 PALLET</v>
      </c>
      <c r="G16" s="195"/>
      <c r="H16" s="195"/>
      <c r="I16" s="196"/>
      <c r="J16" s="195"/>
      <c r="K16" s="196"/>
      <c r="L16" s="211"/>
      <c r="M16" s="212">
        <v>1.63</v>
      </c>
      <c r="N16" s="198">
        <f>VLOOKUP($B16,ma!$A:$C,3,0)</f>
        <v>200000</v>
      </c>
      <c r="O16" s="198">
        <f t="shared" si="0"/>
        <v>326000</v>
      </c>
      <c r="P16" s="198">
        <f t="shared" si="3"/>
        <v>32600</v>
      </c>
      <c r="Q16" s="177"/>
      <c r="R16" s="177"/>
      <c r="S16" s="177"/>
      <c r="T16" s="177"/>
      <c r="U16" s="177"/>
      <c r="V16" s="22"/>
      <c r="W16" s="22"/>
      <c r="X16" s="22"/>
      <c r="Y16" s="22"/>
      <c r="Z16" s="22"/>
      <c r="AA16" s="22"/>
      <c r="AB16" s="22"/>
    </row>
    <row r="17" spans="1:28" ht="16">
      <c r="A17" s="190">
        <f t="shared" si="2"/>
        <v>12</v>
      </c>
      <c r="B17" s="191" t="s">
        <v>115</v>
      </c>
      <c r="C17" s="191" t="s">
        <v>42</v>
      </c>
      <c r="D17" s="192">
        <v>46175</v>
      </c>
      <c r="E17" s="199" t="str">
        <f>VLOOKUP($C17,xe!$A:$B,2,0)</f>
        <v>50H-75206</v>
      </c>
      <c r="F17" s="194" t="str">
        <f>VLOOKUP($B17,ma!$A:$B,2,0)</f>
        <v>PHAN MINH VŨ-BIÊN HOÀ PALLET</v>
      </c>
      <c r="G17" s="195"/>
      <c r="H17" s="195"/>
      <c r="I17" s="196"/>
      <c r="J17" s="195"/>
      <c r="K17" s="196"/>
      <c r="L17" s="195"/>
      <c r="M17" s="197">
        <v>13.72</v>
      </c>
      <c r="N17" s="198">
        <f>VLOOKUP($B17,ma!$A:$C,3,0)</f>
        <v>238000</v>
      </c>
      <c r="O17" s="198">
        <f t="shared" si="0"/>
        <v>3265360</v>
      </c>
      <c r="P17" s="198">
        <f t="shared" si="3"/>
        <v>326536</v>
      </c>
      <c r="Q17" s="177"/>
      <c r="R17" s="177"/>
      <c r="S17" s="177"/>
      <c r="T17" s="177"/>
      <c r="U17" s="177"/>
      <c r="V17" s="22"/>
      <c r="W17" s="22"/>
      <c r="X17" s="22"/>
      <c r="Y17" s="22"/>
      <c r="Z17" s="22"/>
      <c r="AA17" s="22"/>
      <c r="AB17" s="22"/>
    </row>
    <row r="18" spans="1:28" ht="16">
      <c r="A18" s="190">
        <f t="shared" si="2"/>
        <v>13</v>
      </c>
      <c r="B18" s="191" t="s">
        <v>109</v>
      </c>
      <c r="C18" s="191" t="s">
        <v>44</v>
      </c>
      <c r="D18" s="192">
        <v>46175</v>
      </c>
      <c r="E18" s="199" t="str">
        <f>VLOOKUP($C18,xe!$A:$B,2,0)</f>
        <v>50H-66347</v>
      </c>
      <c r="F18" s="194" t="str">
        <f>VLOOKUP($B18,ma!$A:$B,2,0)</f>
        <v>QUẬN 9 XÁ</v>
      </c>
      <c r="G18" s="195"/>
      <c r="H18" s="195"/>
      <c r="I18" s="196"/>
      <c r="J18" s="195"/>
      <c r="K18" s="196"/>
      <c r="L18" s="195"/>
      <c r="M18" s="197">
        <v>14.46</v>
      </c>
      <c r="N18" s="198">
        <f>VLOOKUP($B18,ma!$A:$C,3,0)</f>
        <v>200000</v>
      </c>
      <c r="O18" s="198">
        <f t="shared" si="0"/>
        <v>2892000</v>
      </c>
      <c r="P18" s="198">
        <f t="shared" si="3"/>
        <v>289200</v>
      </c>
      <c r="Q18" s="177"/>
      <c r="R18" s="177"/>
      <c r="S18" s="177"/>
      <c r="T18" s="177"/>
      <c r="U18" s="177"/>
      <c r="V18" s="22"/>
      <c r="W18" s="22"/>
      <c r="X18" s="22"/>
      <c r="Y18" s="22"/>
      <c r="Z18" s="22"/>
      <c r="AA18" s="22"/>
      <c r="AB18" s="22"/>
    </row>
    <row r="19" spans="1:28" ht="16">
      <c r="A19" s="190">
        <f t="shared" si="2"/>
        <v>14</v>
      </c>
      <c r="B19" s="191" t="s">
        <v>136</v>
      </c>
      <c r="C19" s="191" t="s">
        <v>44</v>
      </c>
      <c r="D19" s="192">
        <v>46175</v>
      </c>
      <c r="E19" s="199" t="str">
        <f>VLOOKUP($C19,xe!$A:$B,2,0)</f>
        <v>50H-66347</v>
      </c>
      <c r="F19" s="194" t="str">
        <f>VLOOKUP($B19,ma!$A:$B,2,0)</f>
        <v>TUẤN LỘC Q7 PALLET</v>
      </c>
      <c r="G19" s="195"/>
      <c r="H19" s="195"/>
      <c r="I19" s="196"/>
      <c r="J19" s="195"/>
      <c r="K19" s="196"/>
      <c r="L19" s="195"/>
      <c r="M19" s="197">
        <v>13.46</v>
      </c>
      <c r="N19" s="198">
        <f>VLOOKUP($B19,ma!$A:$C,3,0)</f>
        <v>200000</v>
      </c>
      <c r="O19" s="198">
        <f t="shared" si="0"/>
        <v>2692000</v>
      </c>
      <c r="P19" s="198">
        <f t="shared" si="3"/>
        <v>269200</v>
      </c>
      <c r="Q19" s="177"/>
      <c r="R19" s="177"/>
      <c r="S19" s="177"/>
      <c r="T19" s="177"/>
      <c r="U19" s="177"/>
      <c r="V19" s="22"/>
      <c r="W19" s="22"/>
      <c r="X19" s="22"/>
      <c r="Y19" s="22"/>
      <c r="Z19" s="22"/>
      <c r="AA19" s="22"/>
      <c r="AB19" s="22"/>
    </row>
    <row r="20" spans="1:28" ht="16">
      <c r="A20" s="200">
        <f t="shared" si="2"/>
        <v>15</v>
      </c>
      <c r="B20" s="201" t="s">
        <v>111</v>
      </c>
      <c r="C20" s="201" t="s">
        <v>32</v>
      </c>
      <c r="D20" s="202">
        <v>46176</v>
      </c>
      <c r="E20" s="203" t="str">
        <f>VLOOKUP($C20,xe!$A:$B,2,0)</f>
        <v>50E-648.73</v>
      </c>
      <c r="F20" s="204" t="str">
        <f>VLOOKUP($B20,ma!$A:$B,2,0)</f>
        <v>QUẬN 9 PALLET</v>
      </c>
      <c r="G20" s="205"/>
      <c r="H20" s="205"/>
      <c r="I20" s="206"/>
      <c r="J20" s="205"/>
      <c r="K20" s="206"/>
      <c r="L20" s="205"/>
      <c r="M20" s="207">
        <v>10.66</v>
      </c>
      <c r="N20" s="208">
        <f>VLOOKUP($B20,ma!$A:$C,3,0)</f>
        <v>200000</v>
      </c>
      <c r="O20" s="208">
        <f t="shared" si="0"/>
        <v>2132000</v>
      </c>
      <c r="P20" s="208">
        <f t="shared" si="3"/>
        <v>213200</v>
      </c>
      <c r="Q20" s="209"/>
      <c r="R20" s="209"/>
      <c r="S20" s="209"/>
      <c r="T20" s="209"/>
      <c r="U20" s="209"/>
      <c r="V20" s="210"/>
      <c r="W20" s="210"/>
      <c r="X20" s="210"/>
      <c r="Y20" s="210"/>
      <c r="Z20" s="210"/>
      <c r="AA20" s="210"/>
      <c r="AB20" s="210"/>
    </row>
    <row r="21" spans="1:28" ht="16">
      <c r="A21" s="190">
        <f t="shared" si="2"/>
        <v>16</v>
      </c>
      <c r="B21" s="191" t="s">
        <v>103</v>
      </c>
      <c r="C21" s="191" t="s">
        <v>2089</v>
      </c>
      <c r="D21" s="192">
        <v>46176</v>
      </c>
      <c r="E21" s="199" t="str">
        <f>VLOOKUP($C21,xe!$A:$B,2,0)</f>
        <v>50E-654.34</v>
      </c>
      <c r="F21" s="194" t="str">
        <f>VLOOKUP($B21,ma!$A:$B,2,0)</f>
        <v>PHẠM ANH QUẬN 6 PALLET</v>
      </c>
      <c r="G21" s="195"/>
      <c r="H21" s="195"/>
      <c r="I21" s="196"/>
      <c r="J21" s="195"/>
      <c r="K21" s="196"/>
      <c r="L21" s="195"/>
      <c r="M21" s="197">
        <v>13.51</v>
      </c>
      <c r="N21" s="198">
        <f>VLOOKUP($B21,ma!$A:$C,3,0)</f>
        <v>200000</v>
      </c>
      <c r="O21" s="198">
        <f t="shared" si="0"/>
        <v>2702000</v>
      </c>
      <c r="P21" s="198">
        <f t="shared" si="3"/>
        <v>270200</v>
      </c>
      <c r="Q21" s="177"/>
      <c r="R21" s="177"/>
      <c r="S21" s="177"/>
      <c r="T21" s="177"/>
      <c r="U21" s="177"/>
      <c r="V21" s="22"/>
      <c r="W21" s="22"/>
      <c r="X21" s="22"/>
      <c r="Y21" s="22"/>
      <c r="Z21" s="22"/>
      <c r="AA21" s="22"/>
      <c r="AB21" s="22"/>
    </row>
    <row r="22" spans="1:28" ht="16">
      <c r="A22" s="190">
        <f t="shared" si="2"/>
        <v>17</v>
      </c>
      <c r="B22" s="191" t="s">
        <v>107</v>
      </c>
      <c r="C22" s="191" t="s">
        <v>36</v>
      </c>
      <c r="D22" s="192">
        <v>46176</v>
      </c>
      <c r="E22" s="199" t="str">
        <f>VLOOKUP($C22,xe!$A:$B,2,0)</f>
        <v>50E-324,01</v>
      </c>
      <c r="F22" s="194" t="str">
        <f>VLOOKUP($B22,ma!$A:$B,2,0)</f>
        <v>QUẬN 8 PALLET</v>
      </c>
      <c r="G22" s="195"/>
      <c r="H22" s="195"/>
      <c r="I22" s="196"/>
      <c r="J22" s="195"/>
      <c r="K22" s="196"/>
      <c r="L22" s="195"/>
      <c r="M22" s="197">
        <v>12.35</v>
      </c>
      <c r="N22" s="198">
        <f>VLOOKUP($B22,ma!$A:$C,3,0)</f>
        <v>200000</v>
      </c>
      <c r="O22" s="198">
        <f t="shared" si="0"/>
        <v>2470000</v>
      </c>
      <c r="P22" s="198">
        <f t="shared" si="3"/>
        <v>247000</v>
      </c>
      <c r="Q22" s="177"/>
      <c r="R22" s="177"/>
      <c r="S22" s="177"/>
      <c r="T22" s="177"/>
      <c r="U22" s="177"/>
      <c r="V22" s="22"/>
      <c r="W22" s="22"/>
      <c r="X22" s="22"/>
      <c r="Y22" s="22"/>
      <c r="Z22" s="22"/>
      <c r="AA22" s="22"/>
      <c r="AB22" s="22"/>
    </row>
    <row r="23" spans="1:28" ht="16">
      <c r="A23" s="190">
        <f t="shared" si="2"/>
        <v>18</v>
      </c>
      <c r="B23" s="191" t="s">
        <v>107</v>
      </c>
      <c r="C23" s="191" t="s">
        <v>36</v>
      </c>
      <c r="D23" s="192">
        <v>46176</v>
      </c>
      <c r="E23" s="199" t="str">
        <f>VLOOKUP($C23,xe!$A:$B,2,0)</f>
        <v>50E-324,01</v>
      </c>
      <c r="F23" s="194" t="str">
        <f>VLOOKUP($B23,ma!$A:$B,2,0)</f>
        <v>QUẬN 8 PALLET</v>
      </c>
      <c r="G23" s="195"/>
      <c r="H23" s="195"/>
      <c r="I23" s="196"/>
      <c r="J23" s="195"/>
      <c r="K23" s="196"/>
      <c r="L23" s="195"/>
      <c r="M23" s="197">
        <v>13.33</v>
      </c>
      <c r="N23" s="198">
        <f>VLOOKUP($B23,ma!$A:$C,3,0)</f>
        <v>200000</v>
      </c>
      <c r="O23" s="198">
        <f t="shared" si="0"/>
        <v>2666000</v>
      </c>
      <c r="P23" s="198">
        <f t="shared" si="3"/>
        <v>266600</v>
      </c>
      <c r="Q23" s="177"/>
      <c r="R23" s="177"/>
      <c r="S23" s="177"/>
      <c r="T23" s="177"/>
      <c r="U23" s="177"/>
      <c r="V23" s="22"/>
      <c r="W23" s="22"/>
      <c r="X23" s="22"/>
      <c r="Y23" s="22"/>
      <c r="Z23" s="22"/>
      <c r="AA23" s="22"/>
      <c r="AB23" s="22"/>
    </row>
    <row r="24" spans="1:28" ht="16">
      <c r="A24" s="190">
        <f t="shared" si="2"/>
        <v>19</v>
      </c>
      <c r="B24" s="191" t="s">
        <v>109</v>
      </c>
      <c r="C24" s="191" t="s">
        <v>38</v>
      </c>
      <c r="D24" s="192">
        <v>46176</v>
      </c>
      <c r="E24" s="199" t="str">
        <f>VLOOKUP($C24,xe!$A:$B,2,0)</f>
        <v>50H-87055</v>
      </c>
      <c r="F24" s="194" t="str">
        <f>VLOOKUP($B24,ma!$A:$B,2,0)</f>
        <v>QUẬN 9 XÁ</v>
      </c>
      <c r="G24" s="195"/>
      <c r="H24" s="195"/>
      <c r="I24" s="196"/>
      <c r="J24" s="195"/>
      <c r="K24" s="196"/>
      <c r="L24" s="195"/>
      <c r="M24" s="197">
        <v>13.94</v>
      </c>
      <c r="N24" s="198">
        <f>VLOOKUP($B24,ma!$A:$C,3,0)</f>
        <v>200000</v>
      </c>
      <c r="O24" s="198">
        <f t="shared" si="0"/>
        <v>2788000</v>
      </c>
      <c r="P24" s="198">
        <f t="shared" si="3"/>
        <v>278800</v>
      </c>
      <c r="Q24" s="177"/>
      <c r="R24" s="177"/>
      <c r="S24" s="177"/>
      <c r="T24" s="177"/>
      <c r="U24" s="177"/>
      <c r="V24" s="22"/>
      <c r="W24" s="22"/>
      <c r="X24" s="22"/>
      <c r="Y24" s="22"/>
      <c r="Z24" s="22"/>
      <c r="AA24" s="22"/>
      <c r="AB24" s="22"/>
    </row>
    <row r="25" spans="1:28" ht="16">
      <c r="A25" s="190">
        <f t="shared" si="2"/>
        <v>20</v>
      </c>
      <c r="B25" s="191" t="s">
        <v>136</v>
      </c>
      <c r="C25" s="191" t="s">
        <v>40</v>
      </c>
      <c r="D25" s="192">
        <v>46176</v>
      </c>
      <c r="E25" s="199" t="str">
        <f>VLOOKUP($C25,xe!$A:$B,2,0)</f>
        <v>50E-757,74</v>
      </c>
      <c r="F25" s="194" t="str">
        <f>VLOOKUP($B25,ma!$A:$B,2,0)</f>
        <v>TUẤN LỘC Q7 PALLET</v>
      </c>
      <c r="G25" s="195"/>
      <c r="H25" s="195"/>
      <c r="I25" s="196"/>
      <c r="J25" s="195"/>
      <c r="K25" s="196"/>
      <c r="L25" s="195"/>
      <c r="M25" s="197">
        <v>12.31</v>
      </c>
      <c r="N25" s="198">
        <f>VLOOKUP($B25,ma!$A:$C,3,0)</f>
        <v>200000</v>
      </c>
      <c r="O25" s="198">
        <f t="shared" si="0"/>
        <v>2462000</v>
      </c>
      <c r="P25" s="198">
        <f t="shared" si="3"/>
        <v>246200</v>
      </c>
      <c r="Q25" s="209"/>
      <c r="R25" s="209"/>
      <c r="S25" s="209"/>
      <c r="T25" s="209"/>
      <c r="U25" s="209"/>
      <c r="V25" s="210"/>
      <c r="W25" s="210"/>
      <c r="X25" s="210"/>
      <c r="Y25" s="210"/>
      <c r="Z25" s="210"/>
      <c r="AA25" s="210"/>
      <c r="AB25" s="210"/>
    </row>
    <row r="26" spans="1:28" ht="16">
      <c r="A26" s="190">
        <f t="shared" si="2"/>
        <v>21</v>
      </c>
      <c r="B26" s="191" t="s">
        <v>136</v>
      </c>
      <c r="C26" s="191" t="s">
        <v>42</v>
      </c>
      <c r="D26" s="192">
        <v>46176</v>
      </c>
      <c r="E26" s="199" t="str">
        <f>VLOOKUP($C26,xe!$A:$B,2,0)</f>
        <v>50H-75206</v>
      </c>
      <c r="F26" s="194" t="str">
        <f>VLOOKUP($B26,ma!$A:$B,2,0)</f>
        <v>TUẤN LỘC Q7 PALLET</v>
      </c>
      <c r="G26" s="195"/>
      <c r="H26" s="195"/>
      <c r="I26" s="196"/>
      <c r="J26" s="195"/>
      <c r="K26" s="196"/>
      <c r="L26" s="195"/>
      <c r="M26" s="197">
        <v>11.29</v>
      </c>
      <c r="N26" s="198">
        <f>VLOOKUP($B26,ma!$A:$C,3,0)</f>
        <v>200000</v>
      </c>
      <c r="O26" s="198">
        <f t="shared" si="0"/>
        <v>2258000</v>
      </c>
      <c r="P26" s="198">
        <f t="shared" si="3"/>
        <v>225800</v>
      </c>
      <c r="Q26" s="177"/>
      <c r="R26" s="177"/>
      <c r="S26" s="177"/>
      <c r="T26" s="177"/>
      <c r="U26" s="177"/>
      <c r="V26" s="22"/>
      <c r="W26" s="22"/>
      <c r="X26" s="22"/>
      <c r="Y26" s="22"/>
      <c r="Z26" s="22"/>
      <c r="AA26" s="22"/>
      <c r="AB26" s="22"/>
    </row>
    <row r="27" spans="1:28" ht="16">
      <c r="A27" s="200">
        <f t="shared" si="2"/>
        <v>22</v>
      </c>
      <c r="B27" s="201" t="s">
        <v>240</v>
      </c>
      <c r="C27" s="201" t="s">
        <v>32</v>
      </c>
      <c r="D27" s="202">
        <v>46177</v>
      </c>
      <c r="E27" s="203" t="str">
        <f>VLOOKUP($C27,xe!$A:$B,2,0)</f>
        <v>50E-648.73</v>
      </c>
      <c r="F27" s="204" t="str">
        <f>VLOOKUP($B27,ma!$A:$B,2,0)</f>
        <v>JOLIBEE XE LỚN</v>
      </c>
      <c r="G27" s="205"/>
      <c r="H27" s="205"/>
      <c r="I27" s="206"/>
      <c r="J27" s="205"/>
      <c r="K27" s="206"/>
      <c r="L27" s="205"/>
      <c r="M27" s="207">
        <v>12.5</v>
      </c>
      <c r="N27" s="208">
        <f>VLOOKUP($B27,ma!$A:$C,3,0)</f>
        <v>200000</v>
      </c>
      <c r="O27" s="208">
        <f t="shared" si="0"/>
        <v>2500000</v>
      </c>
      <c r="P27" s="208">
        <f t="shared" si="3"/>
        <v>250000</v>
      </c>
      <c r="Q27" s="209"/>
      <c r="R27" s="209"/>
      <c r="S27" s="209"/>
      <c r="T27" s="209"/>
      <c r="U27" s="209"/>
      <c r="V27" s="210"/>
      <c r="W27" s="210"/>
      <c r="X27" s="210"/>
      <c r="Y27" s="210"/>
      <c r="Z27" s="210"/>
      <c r="AA27" s="210"/>
      <c r="AB27" s="210"/>
    </row>
    <row r="28" spans="1:28" ht="16">
      <c r="A28" s="190">
        <f t="shared" si="2"/>
        <v>23</v>
      </c>
      <c r="B28" s="191" t="s">
        <v>240</v>
      </c>
      <c r="C28" s="191" t="s">
        <v>2089</v>
      </c>
      <c r="D28" s="192">
        <v>46177</v>
      </c>
      <c r="E28" s="199" t="str">
        <f>VLOOKUP($C28,xe!$A:$B,2,0)</f>
        <v>50E-654.34</v>
      </c>
      <c r="F28" s="194" t="str">
        <f>VLOOKUP($B28,ma!$A:$B,2,0)</f>
        <v>JOLIBEE XE LỚN</v>
      </c>
      <c r="G28" s="195"/>
      <c r="H28" s="195"/>
      <c r="I28" s="196"/>
      <c r="J28" s="195"/>
      <c r="K28" s="196"/>
      <c r="L28" s="195"/>
      <c r="M28" s="197">
        <v>12.52</v>
      </c>
      <c r="N28" s="198">
        <f>VLOOKUP($B28,ma!$A:$C,3,0)</f>
        <v>200000</v>
      </c>
      <c r="O28" s="198">
        <f t="shared" si="0"/>
        <v>2504000</v>
      </c>
      <c r="P28" s="198">
        <f t="shared" si="3"/>
        <v>250400</v>
      </c>
      <c r="Q28" s="177"/>
      <c r="R28" s="177"/>
      <c r="S28" s="177"/>
      <c r="T28" s="177"/>
      <c r="U28" s="177"/>
      <c r="V28" s="22"/>
      <c r="W28" s="22"/>
      <c r="X28" s="22"/>
      <c r="Y28" s="22"/>
      <c r="Z28" s="22"/>
      <c r="AA28" s="22"/>
      <c r="AB28" s="22"/>
    </row>
    <row r="29" spans="1:28" ht="16">
      <c r="A29" s="190">
        <f t="shared" si="2"/>
        <v>24</v>
      </c>
      <c r="B29" s="191" t="s">
        <v>136</v>
      </c>
      <c r="C29" s="191" t="s">
        <v>36</v>
      </c>
      <c r="D29" s="192">
        <v>46177</v>
      </c>
      <c r="E29" s="199" t="str">
        <f>VLOOKUP($C29,xe!$A:$B,2,0)</f>
        <v>50E-324,01</v>
      </c>
      <c r="F29" s="194" t="str">
        <f>VLOOKUP($B29,ma!$A:$B,2,0)</f>
        <v>TUẤN LỘC Q7 PALLET</v>
      </c>
      <c r="G29" s="195"/>
      <c r="H29" s="195"/>
      <c r="I29" s="196"/>
      <c r="J29" s="195"/>
      <c r="K29" s="196"/>
      <c r="L29" s="195"/>
      <c r="M29" s="197">
        <v>13.09</v>
      </c>
      <c r="N29" s="198">
        <f>VLOOKUP($B29,ma!$A:$C,3,0)</f>
        <v>200000</v>
      </c>
      <c r="O29" s="198">
        <f t="shared" si="0"/>
        <v>2618000</v>
      </c>
      <c r="P29" s="198">
        <f t="shared" si="3"/>
        <v>261800</v>
      </c>
      <c r="Q29" s="177"/>
      <c r="R29" s="177"/>
      <c r="S29" s="177"/>
      <c r="T29" s="177"/>
      <c r="U29" s="177"/>
      <c r="V29" s="22"/>
      <c r="W29" s="22"/>
      <c r="X29" s="22"/>
      <c r="Y29" s="22"/>
      <c r="Z29" s="22"/>
      <c r="AA29" s="22"/>
      <c r="AB29" s="22"/>
    </row>
    <row r="30" spans="1:28" ht="16">
      <c r="A30" s="190">
        <f t="shared" si="2"/>
        <v>25</v>
      </c>
      <c r="B30" s="191" t="s">
        <v>136</v>
      </c>
      <c r="C30" s="191" t="s">
        <v>36</v>
      </c>
      <c r="D30" s="192">
        <v>46177</v>
      </c>
      <c r="E30" s="199" t="str">
        <f>VLOOKUP($C30,xe!$A:$B,2,0)</f>
        <v>50E-324,01</v>
      </c>
      <c r="F30" s="194" t="str">
        <f>VLOOKUP($B30,ma!$A:$B,2,0)</f>
        <v>TUẤN LỘC Q7 PALLET</v>
      </c>
      <c r="G30" s="195"/>
      <c r="H30" s="195"/>
      <c r="I30" s="196"/>
      <c r="J30" s="195"/>
      <c r="K30" s="196"/>
      <c r="L30" s="195"/>
      <c r="M30" s="197">
        <v>13.7</v>
      </c>
      <c r="N30" s="198">
        <f>VLOOKUP($B30,ma!$A:$C,3,0)</f>
        <v>200000</v>
      </c>
      <c r="O30" s="198">
        <f t="shared" si="0"/>
        <v>2740000</v>
      </c>
      <c r="P30" s="198">
        <f t="shared" si="3"/>
        <v>274000</v>
      </c>
      <c r="Q30" s="177"/>
      <c r="R30" s="177"/>
      <c r="S30" s="177"/>
      <c r="T30" s="177"/>
      <c r="U30" s="177"/>
      <c r="V30" s="22"/>
      <c r="W30" s="22"/>
      <c r="X30" s="22"/>
      <c r="Y30" s="22"/>
      <c r="Z30" s="22"/>
      <c r="AA30" s="22"/>
      <c r="AB30" s="22"/>
    </row>
    <row r="31" spans="1:28" ht="16">
      <c r="A31" s="190">
        <f t="shared" si="2"/>
        <v>26</v>
      </c>
      <c r="B31" s="191" t="s">
        <v>107</v>
      </c>
      <c r="C31" s="191" t="s">
        <v>38</v>
      </c>
      <c r="D31" s="192">
        <v>46177</v>
      </c>
      <c r="E31" s="199" t="str">
        <f>VLOOKUP($C31,xe!$A:$B,2,0)</f>
        <v>50H-87055</v>
      </c>
      <c r="F31" s="194" t="str">
        <f>VLOOKUP($B31,ma!$A:$B,2,0)</f>
        <v>QUẬN 8 PALLET</v>
      </c>
      <c r="G31" s="195"/>
      <c r="H31" s="195"/>
      <c r="I31" s="196"/>
      <c r="J31" s="195"/>
      <c r="K31" s="196"/>
      <c r="L31" s="195"/>
      <c r="M31" s="197">
        <v>10.61</v>
      </c>
      <c r="N31" s="198">
        <f>VLOOKUP($B31,ma!$A:$C,3,0)</f>
        <v>200000</v>
      </c>
      <c r="O31" s="198">
        <f t="shared" si="0"/>
        <v>2122000</v>
      </c>
      <c r="P31" s="198">
        <f t="shared" si="3"/>
        <v>212200</v>
      </c>
      <c r="Q31" s="177"/>
      <c r="R31" s="177"/>
      <c r="S31" s="177"/>
      <c r="T31" s="177"/>
      <c r="U31" s="177"/>
      <c r="V31" s="22"/>
      <c r="W31" s="22"/>
      <c r="X31" s="22"/>
      <c r="Y31" s="22"/>
      <c r="Z31" s="22"/>
      <c r="AA31" s="22"/>
      <c r="AB31" s="22"/>
    </row>
    <row r="32" spans="1:28" ht="16">
      <c r="A32" s="190">
        <f t="shared" si="2"/>
        <v>27</v>
      </c>
      <c r="B32" s="191" t="s">
        <v>212</v>
      </c>
      <c r="C32" s="191" t="s">
        <v>38</v>
      </c>
      <c r="D32" s="192">
        <v>46177</v>
      </c>
      <c r="E32" s="199" t="str">
        <f>VLOOKUP($C32,xe!$A:$B,2,0)</f>
        <v>50H-87055</v>
      </c>
      <c r="F32" s="194" t="str">
        <f>VLOOKUP($B32,ma!$A:$B,2,0)</f>
        <v>THẮNG THOA PHƯƠNG LÂM</v>
      </c>
      <c r="G32" s="195"/>
      <c r="H32" s="195"/>
      <c r="I32" s="196"/>
      <c r="J32" s="195"/>
      <c r="K32" s="196"/>
      <c r="L32" s="195"/>
      <c r="M32" s="197">
        <v>14.44</v>
      </c>
      <c r="N32" s="198">
        <f>VLOOKUP($B32,ma!$A:$C,3,0)</f>
        <v>300000</v>
      </c>
      <c r="O32" s="198">
        <f t="shared" si="0"/>
        <v>4332000</v>
      </c>
      <c r="P32" s="198">
        <f t="shared" si="3"/>
        <v>433200</v>
      </c>
      <c r="Q32" s="177"/>
      <c r="R32" s="177"/>
      <c r="S32" s="177"/>
      <c r="T32" s="177"/>
      <c r="U32" s="177"/>
      <c r="V32" s="22"/>
      <c r="W32" s="22"/>
      <c r="X32" s="22"/>
      <c r="Y32" s="22"/>
      <c r="Z32" s="22"/>
      <c r="AA32" s="22"/>
      <c r="AB32" s="22"/>
    </row>
    <row r="33" spans="1:28" ht="16">
      <c r="A33" s="190">
        <f t="shared" si="2"/>
        <v>28</v>
      </c>
      <c r="B33" s="191" t="s">
        <v>103</v>
      </c>
      <c r="C33" s="191" t="s">
        <v>40</v>
      </c>
      <c r="D33" s="192">
        <v>46177</v>
      </c>
      <c r="E33" s="199" t="str">
        <f>VLOOKUP($C33,xe!$A:$B,2,0)</f>
        <v>50E-757,74</v>
      </c>
      <c r="F33" s="194" t="str">
        <f>VLOOKUP($B33,ma!$A:$B,2,0)</f>
        <v>PHẠM ANH QUẬN 6 PALLET</v>
      </c>
      <c r="G33" s="195"/>
      <c r="H33" s="195"/>
      <c r="I33" s="196"/>
      <c r="J33" s="195"/>
      <c r="K33" s="196"/>
      <c r="L33" s="195"/>
      <c r="M33" s="197">
        <v>13.65</v>
      </c>
      <c r="N33" s="198">
        <f>VLOOKUP($B33,ma!$A:$C,3,0)</f>
        <v>200000</v>
      </c>
      <c r="O33" s="198">
        <f t="shared" si="0"/>
        <v>2730000</v>
      </c>
      <c r="P33" s="198">
        <f t="shared" si="3"/>
        <v>273000</v>
      </c>
      <c r="Q33" s="177"/>
      <c r="R33" s="177"/>
      <c r="S33" s="177"/>
      <c r="T33" s="177"/>
      <c r="U33" s="177"/>
      <c r="V33" s="22"/>
      <c r="W33" s="22"/>
      <c r="X33" s="22"/>
      <c r="Y33" s="22"/>
      <c r="Z33" s="22"/>
      <c r="AA33" s="22"/>
      <c r="AB33" s="22"/>
    </row>
    <row r="34" spans="1:28" ht="16">
      <c r="A34" s="190">
        <f t="shared" si="2"/>
        <v>29</v>
      </c>
      <c r="B34" s="191" t="s">
        <v>190</v>
      </c>
      <c r="C34" s="191" t="s">
        <v>42</v>
      </c>
      <c r="D34" s="192">
        <v>46177</v>
      </c>
      <c r="E34" s="199" t="str">
        <f>VLOOKUP($C34,xe!$A:$B,2,0)</f>
        <v>50H-75206</v>
      </c>
      <c r="F34" s="194" t="str">
        <f>VLOOKUP($B34,ma!$A:$B,2,0)</f>
        <v>NESTLE 7-10</v>
      </c>
      <c r="G34" s="195"/>
      <c r="H34" s="195"/>
      <c r="I34" s="196"/>
      <c r="J34" s="195"/>
      <c r="K34" s="196"/>
      <c r="L34" s="195"/>
      <c r="M34" s="197"/>
      <c r="N34" s="198">
        <f>VLOOKUP($B34,ma!$A:$C,3,0)</f>
        <v>393000</v>
      </c>
      <c r="O34" s="198">
        <f t="shared" si="0"/>
        <v>0</v>
      </c>
      <c r="P34" s="198">
        <f t="shared" si="3"/>
        <v>0</v>
      </c>
      <c r="Q34" s="209"/>
      <c r="R34" s="209"/>
      <c r="S34" s="209"/>
      <c r="T34" s="209"/>
      <c r="U34" s="209"/>
      <c r="V34" s="210"/>
      <c r="W34" s="210"/>
      <c r="X34" s="210"/>
      <c r="Y34" s="210"/>
      <c r="Z34" s="210"/>
      <c r="AA34" s="210"/>
      <c r="AB34" s="210"/>
    </row>
    <row r="35" spans="1:28" ht="16">
      <c r="A35" s="190">
        <f t="shared" si="2"/>
        <v>30</v>
      </c>
      <c r="B35" s="191" t="s">
        <v>107</v>
      </c>
      <c r="C35" s="191" t="s">
        <v>44</v>
      </c>
      <c r="D35" s="192">
        <v>46177</v>
      </c>
      <c r="E35" s="199" t="str">
        <f>VLOOKUP($C35,xe!$A:$B,2,0)</f>
        <v>50H-66347</v>
      </c>
      <c r="F35" s="194" t="str">
        <f>VLOOKUP($B35,ma!$A:$B,2,0)</f>
        <v>QUẬN 8 PALLET</v>
      </c>
      <c r="G35" s="195"/>
      <c r="H35" s="195"/>
      <c r="I35" s="196"/>
      <c r="J35" s="195"/>
      <c r="K35" s="196"/>
      <c r="L35" s="195"/>
      <c r="M35" s="197">
        <v>15.76</v>
      </c>
      <c r="N35" s="198">
        <f>VLOOKUP($B35,ma!$A:$C,3,0)</f>
        <v>200000</v>
      </c>
      <c r="O35" s="198">
        <f t="shared" si="0"/>
        <v>3152000</v>
      </c>
      <c r="P35" s="198">
        <f t="shared" si="3"/>
        <v>315200</v>
      </c>
      <c r="Q35" s="177"/>
      <c r="R35" s="177"/>
      <c r="S35" s="177"/>
      <c r="T35" s="177"/>
      <c r="U35" s="177"/>
      <c r="V35" s="22"/>
      <c r="W35" s="22"/>
      <c r="X35" s="22"/>
      <c r="Y35" s="22"/>
      <c r="Z35" s="22"/>
      <c r="AA35" s="22"/>
      <c r="AB35" s="22"/>
    </row>
    <row r="36" spans="1:28" ht="16">
      <c r="A36" s="190">
        <f t="shared" si="2"/>
        <v>31</v>
      </c>
      <c r="B36" s="191" t="s">
        <v>91</v>
      </c>
      <c r="C36" s="191" t="s">
        <v>44</v>
      </c>
      <c r="D36" s="192">
        <v>46177</v>
      </c>
      <c r="E36" s="199" t="str">
        <f>VLOOKUP($C36,xe!$A:$B,2,0)</f>
        <v>50H-66347</v>
      </c>
      <c r="F36" s="194" t="str">
        <f>VLOOKUP($B36,ma!$A:$B,2,0)</f>
        <v>CALOFIC - UNI ( xe lớn )</v>
      </c>
      <c r="G36" s="195"/>
      <c r="H36" s="195"/>
      <c r="I36" s="196"/>
      <c r="J36" s="195"/>
      <c r="K36" s="196"/>
      <c r="L36" s="195"/>
      <c r="M36" s="197">
        <v>1</v>
      </c>
      <c r="N36" s="198">
        <f>VLOOKUP($B36,ma!$A:$C,3,0)</f>
        <v>400000</v>
      </c>
      <c r="O36" s="198">
        <f t="shared" si="0"/>
        <v>400000</v>
      </c>
      <c r="P36" s="198">
        <v>100000</v>
      </c>
      <c r="Q36" s="177"/>
      <c r="R36" s="177"/>
      <c r="S36" s="177"/>
      <c r="T36" s="177"/>
      <c r="U36" s="177"/>
      <c r="V36" s="22"/>
      <c r="W36" s="22"/>
      <c r="X36" s="22"/>
      <c r="Y36" s="22"/>
      <c r="Z36" s="22"/>
      <c r="AA36" s="22"/>
      <c r="AB36" s="22"/>
    </row>
    <row r="37" spans="1:28" ht="16">
      <c r="A37" s="190">
        <f t="shared" si="2"/>
        <v>32</v>
      </c>
      <c r="B37" s="191" t="s">
        <v>2091</v>
      </c>
      <c r="C37" s="191" t="s">
        <v>36</v>
      </c>
      <c r="D37" s="192">
        <v>46177</v>
      </c>
      <c r="E37" s="199" t="str">
        <f>VLOOKUP($C37,xe!$A:$B,2,0)</f>
        <v>50E-324,01</v>
      </c>
      <c r="F37" s="194" t="str">
        <f>VLOOKUP($B37,ma!$A:$B,2,0)</f>
        <v>AJ LONG HẬU</v>
      </c>
      <c r="G37" s="195"/>
      <c r="H37" s="195"/>
      <c r="I37" s="196"/>
      <c r="J37" s="195"/>
      <c r="K37" s="196"/>
      <c r="L37" s="195"/>
      <c r="M37" s="197">
        <v>1</v>
      </c>
      <c r="N37" s="198">
        <f>VLOOKUP($B37,ma!$A:$C,3,0)</f>
        <v>600000</v>
      </c>
      <c r="O37" s="198">
        <f t="shared" si="0"/>
        <v>600000</v>
      </c>
      <c r="P37" s="198">
        <v>100000</v>
      </c>
      <c r="Q37" s="177"/>
      <c r="R37" s="177"/>
      <c r="S37" s="177"/>
      <c r="T37" s="177"/>
      <c r="U37" s="177"/>
      <c r="V37" s="22"/>
      <c r="W37" s="22"/>
      <c r="X37" s="22"/>
      <c r="Y37" s="22"/>
      <c r="Z37" s="22"/>
      <c r="AA37" s="22"/>
      <c r="AB37" s="22"/>
    </row>
    <row r="38" spans="1:28" ht="16">
      <c r="A38" s="200">
        <f t="shared" si="2"/>
        <v>33</v>
      </c>
      <c r="B38" s="201" t="s">
        <v>194</v>
      </c>
      <c r="C38" s="201" t="s">
        <v>32</v>
      </c>
      <c r="D38" s="202">
        <v>46178</v>
      </c>
      <c r="E38" s="203" t="str">
        <f>VLOOKUP($C38,xe!$A:$B,2,0)</f>
        <v>50E-648.73</v>
      </c>
      <c r="F38" s="204" t="str">
        <f>VLOOKUP($B38,ma!$A:$B,2,0)</f>
        <v>NDFC - NAIC BẾN LỨC</v>
      </c>
      <c r="G38" s="205"/>
      <c r="H38" s="205"/>
      <c r="I38" s="206"/>
      <c r="J38" s="205"/>
      <c r="K38" s="206"/>
      <c r="L38" s="205"/>
      <c r="M38" s="207">
        <v>1</v>
      </c>
      <c r="N38" s="208">
        <f>VLOOKUP($B38,ma!$A:$C,3,0)</f>
        <v>2400000</v>
      </c>
      <c r="O38" s="208">
        <f t="shared" si="0"/>
        <v>2400000</v>
      </c>
      <c r="P38" s="208">
        <f t="shared" ref="P38:P48" si="4">O38*10%</f>
        <v>240000</v>
      </c>
      <c r="Q38" s="209"/>
      <c r="R38" s="209"/>
      <c r="S38" s="209"/>
      <c r="T38" s="209"/>
      <c r="U38" s="209"/>
      <c r="V38" s="210"/>
      <c r="W38" s="210"/>
      <c r="X38" s="210"/>
      <c r="Y38" s="210"/>
      <c r="Z38" s="210"/>
      <c r="AA38" s="210"/>
      <c r="AB38" s="210"/>
    </row>
    <row r="39" spans="1:28" ht="16">
      <c r="A39" s="190">
        <f t="shared" si="2"/>
        <v>34</v>
      </c>
      <c r="B39" s="191" t="s">
        <v>136</v>
      </c>
      <c r="C39" s="191" t="s">
        <v>36</v>
      </c>
      <c r="D39" s="192">
        <v>46178</v>
      </c>
      <c r="E39" s="199" t="str">
        <f>VLOOKUP($C39,xe!$A:$B,2,0)</f>
        <v>50E-324,01</v>
      </c>
      <c r="F39" s="194" t="str">
        <f>VLOOKUP($B39,ma!$A:$B,2,0)</f>
        <v>TUẤN LỘC Q7 PALLET</v>
      </c>
      <c r="G39" s="195"/>
      <c r="H39" s="195"/>
      <c r="I39" s="196"/>
      <c r="J39" s="195"/>
      <c r="K39" s="196"/>
      <c r="L39" s="195"/>
      <c r="M39" s="197">
        <v>13.58</v>
      </c>
      <c r="N39" s="198">
        <f>VLOOKUP($B39,ma!$A:$C,3,0)</f>
        <v>200000</v>
      </c>
      <c r="O39" s="198">
        <f t="shared" si="0"/>
        <v>2716000</v>
      </c>
      <c r="P39" s="198">
        <f t="shared" si="4"/>
        <v>271600</v>
      </c>
      <c r="Q39" s="177"/>
      <c r="R39" s="177"/>
      <c r="S39" s="177"/>
      <c r="T39" s="177"/>
      <c r="U39" s="177"/>
      <c r="V39" s="22"/>
      <c r="W39" s="22"/>
      <c r="X39" s="22"/>
      <c r="Y39" s="22"/>
      <c r="Z39" s="22"/>
      <c r="AA39" s="22"/>
      <c r="AB39" s="22"/>
    </row>
    <row r="40" spans="1:28" ht="16">
      <c r="A40" s="190">
        <f t="shared" si="2"/>
        <v>35</v>
      </c>
      <c r="B40" s="191" t="s">
        <v>136</v>
      </c>
      <c r="C40" s="191" t="s">
        <v>36</v>
      </c>
      <c r="D40" s="192">
        <v>46178</v>
      </c>
      <c r="E40" s="199" t="str">
        <f>VLOOKUP($C40,xe!$A:$B,2,0)</f>
        <v>50E-324,01</v>
      </c>
      <c r="F40" s="194" t="str">
        <f>VLOOKUP($B40,ma!$A:$B,2,0)</f>
        <v>TUẤN LỘC Q7 PALLET</v>
      </c>
      <c r="G40" s="195"/>
      <c r="H40" s="195"/>
      <c r="I40" s="196"/>
      <c r="J40" s="195"/>
      <c r="K40" s="196"/>
      <c r="L40" s="195"/>
      <c r="M40" s="197">
        <v>12.7</v>
      </c>
      <c r="N40" s="198">
        <f>VLOOKUP($B40,ma!$A:$C,3,0)</f>
        <v>200000</v>
      </c>
      <c r="O40" s="198">
        <f t="shared" si="0"/>
        <v>2540000</v>
      </c>
      <c r="P40" s="198">
        <f t="shared" si="4"/>
        <v>254000</v>
      </c>
      <c r="Q40" s="177"/>
      <c r="R40" s="177"/>
      <c r="S40" s="177"/>
      <c r="T40" s="177"/>
      <c r="U40" s="177"/>
      <c r="V40" s="22"/>
      <c r="W40" s="22"/>
      <c r="X40" s="22"/>
      <c r="Y40" s="22"/>
      <c r="Z40" s="22"/>
      <c r="AA40" s="22"/>
      <c r="AB40" s="22"/>
    </row>
    <row r="41" spans="1:28" ht="16">
      <c r="A41" s="190">
        <f t="shared" si="2"/>
        <v>36</v>
      </c>
      <c r="B41" s="191" t="s">
        <v>194</v>
      </c>
      <c r="C41" s="191" t="s">
        <v>38</v>
      </c>
      <c r="D41" s="192">
        <v>46178</v>
      </c>
      <c r="E41" s="199" t="str">
        <f>VLOOKUP($C41,xe!$A:$B,2,0)</f>
        <v>50H-87055</v>
      </c>
      <c r="F41" s="194" t="str">
        <f>VLOOKUP($B41,ma!$A:$B,2,0)</f>
        <v>NDFC - NAIC BẾN LỨC</v>
      </c>
      <c r="G41" s="195"/>
      <c r="H41" s="195"/>
      <c r="I41" s="196"/>
      <c r="J41" s="195"/>
      <c r="K41" s="196"/>
      <c r="L41" s="195"/>
      <c r="M41" s="197">
        <v>1</v>
      </c>
      <c r="N41" s="198">
        <f>VLOOKUP($B41,ma!$A:$C,3,0)</f>
        <v>2400000</v>
      </c>
      <c r="O41" s="198">
        <f t="shared" si="0"/>
        <v>2400000</v>
      </c>
      <c r="P41" s="198">
        <f t="shared" si="4"/>
        <v>240000</v>
      </c>
      <c r="Q41" s="213"/>
      <c r="R41" s="213"/>
      <c r="S41" s="213"/>
      <c r="T41" s="213"/>
      <c r="U41" s="213"/>
      <c r="V41" s="214"/>
      <c r="W41" s="214"/>
      <c r="X41" s="214"/>
      <c r="Y41" s="214"/>
      <c r="Z41" s="214"/>
      <c r="AA41" s="214"/>
      <c r="AB41" s="214"/>
    </row>
    <row r="42" spans="1:28" ht="16">
      <c r="A42" s="190">
        <f t="shared" si="2"/>
        <v>37</v>
      </c>
      <c r="B42" s="191" t="s">
        <v>194</v>
      </c>
      <c r="C42" s="191" t="s">
        <v>40</v>
      </c>
      <c r="D42" s="192">
        <v>46178</v>
      </c>
      <c r="E42" s="199" t="str">
        <f>VLOOKUP($C42,xe!$A:$B,2,0)</f>
        <v>50E-757,74</v>
      </c>
      <c r="F42" s="194" t="str">
        <f>VLOOKUP($B42,ma!$A:$B,2,0)</f>
        <v>NDFC - NAIC BẾN LỨC</v>
      </c>
      <c r="G42" s="195"/>
      <c r="H42" s="195"/>
      <c r="I42" s="196"/>
      <c r="J42" s="195"/>
      <c r="K42" s="196"/>
      <c r="L42" s="195"/>
      <c r="M42" s="197">
        <v>1</v>
      </c>
      <c r="N42" s="198">
        <f>VLOOKUP($B42,ma!$A:$C,3,0)</f>
        <v>2400000</v>
      </c>
      <c r="O42" s="198">
        <f t="shared" si="0"/>
        <v>2400000</v>
      </c>
      <c r="P42" s="198">
        <f t="shared" si="4"/>
        <v>240000</v>
      </c>
      <c r="Q42" s="177"/>
      <c r="R42" s="177"/>
      <c r="S42" s="177"/>
      <c r="T42" s="177"/>
      <c r="U42" s="177"/>
      <c r="V42" s="22"/>
      <c r="W42" s="22"/>
      <c r="X42" s="22"/>
      <c r="Y42" s="22"/>
      <c r="Z42" s="22"/>
      <c r="AA42" s="22"/>
      <c r="AB42" s="22"/>
    </row>
    <row r="43" spans="1:28" ht="16">
      <c r="A43" s="190">
        <f t="shared" si="2"/>
        <v>38</v>
      </c>
      <c r="B43" s="191" t="s">
        <v>224</v>
      </c>
      <c r="C43" s="191" t="s">
        <v>40</v>
      </c>
      <c r="D43" s="192">
        <v>46178</v>
      </c>
      <c r="E43" s="199" t="str">
        <f>VLOOKUP($C43,xe!$A:$B,2,0)</f>
        <v>50E-757,74</v>
      </c>
      <c r="F43" s="194" t="str">
        <f>VLOOKUP($B43,ma!$A:$B,2,0)</f>
        <v>MAXIDI ĐỒNG NAI</v>
      </c>
      <c r="G43" s="195"/>
      <c r="H43" s="195"/>
      <c r="I43" s="196"/>
      <c r="J43" s="195"/>
      <c r="K43" s="196"/>
      <c r="L43" s="195"/>
      <c r="M43" s="197">
        <v>12.86</v>
      </c>
      <c r="N43" s="198">
        <f>VLOOKUP($B43,ma!$A:$C,3,0)</f>
        <v>238000</v>
      </c>
      <c r="O43" s="198">
        <f t="shared" si="0"/>
        <v>3060680</v>
      </c>
      <c r="P43" s="198">
        <f t="shared" si="4"/>
        <v>306068</v>
      </c>
      <c r="Q43" s="177"/>
      <c r="R43" s="177"/>
      <c r="S43" s="177"/>
      <c r="T43" s="177"/>
      <c r="U43" s="177"/>
      <c r="V43" s="22"/>
      <c r="W43" s="22"/>
      <c r="X43" s="22"/>
      <c r="Y43" s="22"/>
      <c r="Z43" s="22"/>
      <c r="AA43" s="22"/>
      <c r="AB43" s="22"/>
    </row>
    <row r="44" spans="1:28" ht="16">
      <c r="A44" s="190">
        <f t="shared" si="2"/>
        <v>39</v>
      </c>
      <c r="B44" s="191" t="s">
        <v>194</v>
      </c>
      <c r="C44" s="191" t="s">
        <v>42</v>
      </c>
      <c r="D44" s="192">
        <v>46178</v>
      </c>
      <c r="E44" s="199" t="str">
        <f>VLOOKUP($C44,xe!$A:$B,2,0)</f>
        <v>50H-75206</v>
      </c>
      <c r="F44" s="194" t="str">
        <f>VLOOKUP($B44,ma!$A:$B,2,0)</f>
        <v>NDFC - NAIC BẾN LỨC</v>
      </c>
      <c r="G44" s="195"/>
      <c r="H44" s="195"/>
      <c r="I44" s="196"/>
      <c r="J44" s="195"/>
      <c r="K44" s="196"/>
      <c r="L44" s="195"/>
      <c r="M44" s="197">
        <v>1</v>
      </c>
      <c r="N44" s="198">
        <f>VLOOKUP($B44,ma!$A:$C,3,0)</f>
        <v>2400000</v>
      </c>
      <c r="O44" s="198">
        <f t="shared" si="0"/>
        <v>2400000</v>
      </c>
      <c r="P44" s="198">
        <f t="shared" si="4"/>
        <v>240000</v>
      </c>
      <c r="Q44" s="177"/>
      <c r="R44" s="177"/>
      <c r="S44" s="177"/>
      <c r="T44" s="177"/>
      <c r="U44" s="177"/>
      <c r="V44" s="22"/>
      <c r="W44" s="22"/>
      <c r="X44" s="22"/>
      <c r="Y44" s="22"/>
      <c r="Z44" s="22"/>
      <c r="AA44" s="22"/>
      <c r="AB44" s="22"/>
    </row>
    <row r="45" spans="1:28" ht="16">
      <c r="A45" s="190">
        <f t="shared" si="2"/>
        <v>40</v>
      </c>
      <c r="B45" s="191" t="s">
        <v>103</v>
      </c>
      <c r="C45" s="191" t="s">
        <v>42</v>
      </c>
      <c r="D45" s="192">
        <v>46178</v>
      </c>
      <c r="E45" s="199" t="str">
        <f>VLOOKUP($C45,xe!$A:$B,2,0)</f>
        <v>50H-75206</v>
      </c>
      <c r="F45" s="194" t="str">
        <f>VLOOKUP($B45,ma!$A:$B,2,0)</f>
        <v>PHẠM ANH QUẬN 6 PALLET</v>
      </c>
      <c r="G45" s="195"/>
      <c r="H45" s="195"/>
      <c r="I45" s="196"/>
      <c r="J45" s="195"/>
      <c r="K45" s="196"/>
      <c r="L45" s="195"/>
      <c r="M45" s="197">
        <v>11.81</v>
      </c>
      <c r="N45" s="198">
        <f>VLOOKUP($B45,ma!$A:$C,3,0)</f>
        <v>200000</v>
      </c>
      <c r="O45" s="198">
        <f t="shared" si="0"/>
        <v>2362000</v>
      </c>
      <c r="P45" s="198">
        <f t="shared" si="4"/>
        <v>236200</v>
      </c>
      <c r="Q45" s="177"/>
      <c r="R45" s="177"/>
      <c r="S45" s="177"/>
      <c r="T45" s="177"/>
      <c r="U45" s="177"/>
      <c r="V45" s="22"/>
      <c r="W45" s="22"/>
      <c r="X45" s="22"/>
      <c r="Y45" s="22"/>
      <c r="Z45" s="22"/>
      <c r="AA45" s="22"/>
      <c r="AB45" s="22"/>
    </row>
    <row r="46" spans="1:28" ht="16">
      <c r="A46" s="190">
        <f t="shared" si="2"/>
        <v>41</v>
      </c>
      <c r="B46" s="191" t="s">
        <v>107</v>
      </c>
      <c r="C46" s="191" t="s">
        <v>44</v>
      </c>
      <c r="D46" s="192">
        <v>46178</v>
      </c>
      <c r="E46" s="199" t="str">
        <f>VLOOKUP($C46,xe!$A:$B,2,0)</f>
        <v>50H-66347</v>
      </c>
      <c r="F46" s="194" t="str">
        <f>VLOOKUP($B46,ma!$A:$B,2,0)</f>
        <v>QUẬN 8 PALLET</v>
      </c>
      <c r="G46" s="195"/>
      <c r="H46" s="195"/>
      <c r="I46" s="196"/>
      <c r="J46" s="195"/>
      <c r="K46" s="196"/>
      <c r="L46" s="195"/>
      <c r="M46" s="197">
        <v>12.77</v>
      </c>
      <c r="N46" s="198">
        <f>VLOOKUP($B46,ma!$A:$C,3,0)</f>
        <v>200000</v>
      </c>
      <c r="O46" s="198">
        <f t="shared" si="0"/>
        <v>2554000</v>
      </c>
      <c r="P46" s="198">
        <f t="shared" si="4"/>
        <v>255400</v>
      </c>
      <c r="Q46" s="209"/>
      <c r="R46" s="209"/>
      <c r="S46" s="209"/>
      <c r="T46" s="209"/>
      <c r="U46" s="209"/>
      <c r="V46" s="210"/>
      <c r="W46" s="210"/>
      <c r="X46" s="210"/>
      <c r="Y46" s="210"/>
      <c r="Z46" s="210"/>
      <c r="AA46" s="210"/>
      <c r="AB46" s="210"/>
    </row>
    <row r="47" spans="1:28" ht="16">
      <c r="A47" s="190">
        <f t="shared" si="2"/>
        <v>42</v>
      </c>
      <c r="B47" s="191" t="s">
        <v>224</v>
      </c>
      <c r="C47" s="191" t="s">
        <v>44</v>
      </c>
      <c r="D47" s="192">
        <v>46178</v>
      </c>
      <c r="E47" s="199" t="str">
        <f>VLOOKUP($C47,xe!$A:$B,2,0)</f>
        <v>50H-66347</v>
      </c>
      <c r="F47" s="194" t="str">
        <f>VLOOKUP($B47,ma!$A:$B,2,0)</f>
        <v>MAXIDI ĐỒNG NAI</v>
      </c>
      <c r="G47" s="195"/>
      <c r="H47" s="195"/>
      <c r="I47" s="196"/>
      <c r="J47" s="195"/>
      <c r="K47" s="196"/>
      <c r="L47" s="195"/>
      <c r="M47" s="197">
        <v>12.85</v>
      </c>
      <c r="N47" s="198">
        <f>VLOOKUP($B47,ma!$A:$C,3,0)</f>
        <v>238000</v>
      </c>
      <c r="O47" s="198">
        <f t="shared" si="0"/>
        <v>3058300</v>
      </c>
      <c r="P47" s="198">
        <f t="shared" si="4"/>
        <v>305830</v>
      </c>
      <c r="Q47" s="177"/>
      <c r="R47" s="177"/>
      <c r="S47" s="177"/>
      <c r="T47" s="177"/>
      <c r="U47" s="177"/>
      <c r="V47" s="22"/>
      <c r="W47" s="22"/>
      <c r="X47" s="22"/>
      <c r="Y47" s="22"/>
      <c r="Z47" s="22"/>
      <c r="AA47" s="22"/>
      <c r="AB47" s="22"/>
    </row>
    <row r="48" spans="1:28" ht="16">
      <c r="A48" s="200">
        <f t="shared" si="2"/>
        <v>43</v>
      </c>
      <c r="B48" s="201" t="s">
        <v>2092</v>
      </c>
      <c r="C48" s="201" t="s">
        <v>32</v>
      </c>
      <c r="D48" s="202">
        <v>46179</v>
      </c>
      <c r="E48" s="203" t="str">
        <f>VLOOKUP($C48,xe!$A:$B,2,0)</f>
        <v>50E-648.73</v>
      </c>
      <c r="F48" s="204" t="str">
        <f>VLOOKUP($B48,ma!$A:$B,2,0)</f>
        <v>NESTLE 7-10</v>
      </c>
      <c r="G48" s="205"/>
      <c r="H48" s="205"/>
      <c r="I48" s="206"/>
      <c r="J48" s="205"/>
      <c r="K48" s="206"/>
      <c r="L48" s="205"/>
      <c r="M48" s="207">
        <v>6.72</v>
      </c>
      <c r="N48" s="208">
        <f>VLOOKUP($B48,ma!$A:$C,3,0)</f>
        <v>393000</v>
      </c>
      <c r="O48" s="208">
        <f t="shared" si="0"/>
        <v>2640960</v>
      </c>
      <c r="P48" s="208">
        <f t="shared" si="4"/>
        <v>264096</v>
      </c>
      <c r="Q48" s="209"/>
      <c r="R48" s="209"/>
      <c r="S48" s="209"/>
      <c r="T48" s="209"/>
      <c r="U48" s="209"/>
      <c r="V48" s="210"/>
      <c r="W48" s="210"/>
      <c r="X48" s="210"/>
      <c r="Y48" s="210"/>
      <c r="Z48" s="210"/>
      <c r="AA48" s="210"/>
      <c r="AB48" s="210"/>
    </row>
    <row r="49" spans="1:28" ht="16">
      <c r="A49" s="190">
        <f t="shared" si="2"/>
        <v>44</v>
      </c>
      <c r="B49" s="191" t="s">
        <v>91</v>
      </c>
      <c r="C49" s="191" t="s">
        <v>42</v>
      </c>
      <c r="D49" s="192">
        <v>46179</v>
      </c>
      <c r="E49" s="199" t="str">
        <f>VLOOKUP($C49,xe!$A:$B,2,0)</f>
        <v>50H-75206</v>
      </c>
      <c r="F49" s="194" t="str">
        <f>VLOOKUP($B49,ma!$A:$B,2,0)</f>
        <v>CALOFIC - UNI ( xe lớn )</v>
      </c>
      <c r="G49" s="195"/>
      <c r="H49" s="195"/>
      <c r="I49" s="196"/>
      <c r="J49" s="195"/>
      <c r="K49" s="196"/>
      <c r="L49" s="195"/>
      <c r="M49" s="197">
        <v>1</v>
      </c>
      <c r="N49" s="198">
        <f>VLOOKUP($B49,ma!$A:$C,3,0)</f>
        <v>400000</v>
      </c>
      <c r="O49" s="198">
        <f t="shared" si="0"/>
        <v>400000</v>
      </c>
      <c r="P49" s="198">
        <v>100000</v>
      </c>
      <c r="Q49" s="177"/>
      <c r="R49" s="177"/>
      <c r="S49" s="177"/>
      <c r="T49" s="177"/>
      <c r="U49" s="177"/>
      <c r="V49" s="22"/>
      <c r="W49" s="22"/>
      <c r="X49" s="22"/>
      <c r="Y49" s="22"/>
      <c r="Z49" s="22"/>
      <c r="AA49" s="22"/>
      <c r="AB49" s="22"/>
    </row>
    <row r="50" spans="1:28" ht="16">
      <c r="A50" s="190">
        <f t="shared" si="2"/>
        <v>45</v>
      </c>
      <c r="B50" s="191" t="s">
        <v>91</v>
      </c>
      <c r="C50" s="191" t="s">
        <v>36</v>
      </c>
      <c r="D50" s="192">
        <v>46179</v>
      </c>
      <c r="E50" s="199" t="str">
        <f>VLOOKUP($C50,xe!$A:$B,2,0)</f>
        <v>50E-324,01</v>
      </c>
      <c r="F50" s="194" t="str">
        <f>VLOOKUP($B50,ma!$A:$B,2,0)</f>
        <v>CALOFIC - UNI ( xe lớn )</v>
      </c>
      <c r="G50" s="195"/>
      <c r="H50" s="195"/>
      <c r="I50" s="196"/>
      <c r="J50" s="195"/>
      <c r="K50" s="196"/>
      <c r="L50" s="195"/>
      <c r="M50" s="197">
        <v>1</v>
      </c>
      <c r="N50" s="198">
        <f>VLOOKUP($B50,ma!$A:$C,3,0)</f>
        <v>400000</v>
      </c>
      <c r="O50" s="198">
        <f t="shared" si="0"/>
        <v>400000</v>
      </c>
      <c r="P50" s="198">
        <v>100000</v>
      </c>
      <c r="Q50" s="177"/>
      <c r="R50" s="177"/>
      <c r="S50" s="177"/>
      <c r="T50" s="177"/>
      <c r="U50" s="177"/>
      <c r="V50" s="22"/>
      <c r="W50" s="22"/>
      <c r="X50" s="22"/>
      <c r="Y50" s="22"/>
      <c r="Z50" s="22"/>
      <c r="AA50" s="22"/>
      <c r="AB50" s="22"/>
    </row>
    <row r="51" spans="1:28" ht="16">
      <c r="A51" s="200">
        <f t="shared" si="2"/>
        <v>46</v>
      </c>
      <c r="B51" s="201" t="s">
        <v>194</v>
      </c>
      <c r="C51" s="201" t="s">
        <v>32</v>
      </c>
      <c r="D51" s="202">
        <v>46181</v>
      </c>
      <c r="E51" s="203" t="str">
        <f>VLOOKUP($C51,xe!$A:$B,2,0)</f>
        <v>50E-648.73</v>
      </c>
      <c r="F51" s="204" t="str">
        <f>VLOOKUP($B51,ma!$A:$B,2,0)</f>
        <v>NDFC - NAIC BẾN LỨC</v>
      </c>
      <c r="G51" s="205"/>
      <c r="H51" s="205"/>
      <c r="I51" s="206"/>
      <c r="J51" s="205"/>
      <c r="K51" s="206"/>
      <c r="L51" s="205"/>
      <c r="M51" s="207">
        <v>1</v>
      </c>
      <c r="N51" s="208">
        <f>VLOOKUP($B51,ma!$A:$C,3,0)</f>
        <v>2400000</v>
      </c>
      <c r="O51" s="208">
        <f t="shared" si="0"/>
        <v>2400000</v>
      </c>
      <c r="P51" s="208">
        <f t="shared" ref="P51:P65" si="5">O51*10%</f>
        <v>240000</v>
      </c>
      <c r="Q51" s="209"/>
      <c r="R51" s="209"/>
      <c r="S51" s="209"/>
      <c r="T51" s="209"/>
      <c r="U51" s="209"/>
      <c r="V51" s="210"/>
      <c r="W51" s="210"/>
      <c r="X51" s="210"/>
      <c r="Y51" s="210"/>
      <c r="Z51" s="210"/>
      <c r="AA51" s="210"/>
      <c r="AB51" s="210"/>
    </row>
    <row r="52" spans="1:28" ht="16">
      <c r="A52" s="190">
        <f t="shared" si="2"/>
        <v>47</v>
      </c>
      <c r="B52" s="191" t="s">
        <v>136</v>
      </c>
      <c r="C52" s="191" t="s">
        <v>36</v>
      </c>
      <c r="D52" s="192">
        <v>46181</v>
      </c>
      <c r="E52" s="199" t="str">
        <f>VLOOKUP($C52,xe!$A:$B,2,0)</f>
        <v>50E-324,01</v>
      </c>
      <c r="F52" s="194" t="str">
        <f>VLOOKUP($B52,ma!$A:$B,2,0)</f>
        <v>TUẤN LỘC Q7 PALLET</v>
      </c>
      <c r="G52" s="195"/>
      <c r="H52" s="195"/>
      <c r="I52" s="196"/>
      <c r="J52" s="195"/>
      <c r="K52" s="196"/>
      <c r="L52" s="195"/>
      <c r="M52" s="197">
        <v>11.95</v>
      </c>
      <c r="N52" s="198">
        <f>VLOOKUP($B52,ma!$A:$C,3,0)</f>
        <v>200000</v>
      </c>
      <c r="O52" s="198">
        <f t="shared" si="0"/>
        <v>2390000</v>
      </c>
      <c r="P52" s="198">
        <f t="shared" si="5"/>
        <v>239000</v>
      </c>
      <c r="Q52" s="177"/>
      <c r="R52" s="177"/>
      <c r="S52" s="177"/>
      <c r="T52" s="177"/>
      <c r="U52" s="177"/>
      <c r="V52" s="22"/>
      <c r="W52" s="22"/>
      <c r="X52" s="22"/>
      <c r="Y52" s="22"/>
      <c r="Z52" s="22"/>
      <c r="AA52" s="22"/>
      <c r="AB52" s="22"/>
    </row>
    <row r="53" spans="1:28" ht="16">
      <c r="A53" s="190">
        <f t="shared" si="2"/>
        <v>48</v>
      </c>
      <c r="B53" s="191" t="s">
        <v>134</v>
      </c>
      <c r="C53" s="191" t="s">
        <v>36</v>
      </c>
      <c r="D53" s="192">
        <v>46181</v>
      </c>
      <c r="E53" s="199" t="str">
        <f>VLOOKUP($C53,xe!$A:$B,2,0)</f>
        <v>50E-324,01</v>
      </c>
      <c r="F53" s="194" t="str">
        <f>VLOOKUP($B53,ma!$A:$B,2,0)</f>
        <v>TUẤN LỘC Q7 XÁ</v>
      </c>
      <c r="G53" s="195"/>
      <c r="H53" s="195"/>
      <c r="I53" s="196"/>
      <c r="J53" s="195"/>
      <c r="K53" s="196"/>
      <c r="L53" s="195"/>
      <c r="M53" s="197">
        <v>15.04</v>
      </c>
      <c r="N53" s="198">
        <f>VLOOKUP($B53,ma!$A:$C,3,0)</f>
        <v>200000</v>
      </c>
      <c r="O53" s="198">
        <f t="shared" si="0"/>
        <v>3008000</v>
      </c>
      <c r="P53" s="198">
        <f t="shared" si="5"/>
        <v>300800</v>
      </c>
      <c r="Q53" s="177"/>
      <c r="R53" s="177"/>
      <c r="S53" s="177"/>
      <c r="T53" s="177"/>
      <c r="U53" s="177"/>
      <c r="V53" s="22"/>
      <c r="W53" s="22"/>
      <c r="X53" s="22"/>
      <c r="Y53" s="22"/>
      <c r="Z53" s="22"/>
      <c r="AA53" s="22"/>
      <c r="AB53" s="22"/>
    </row>
    <row r="54" spans="1:28" ht="16">
      <c r="A54" s="190">
        <f t="shared" si="2"/>
        <v>49</v>
      </c>
      <c r="B54" s="191" t="s">
        <v>206</v>
      </c>
      <c r="C54" s="191" t="s">
        <v>38</v>
      </c>
      <c r="D54" s="192">
        <v>46181</v>
      </c>
      <c r="E54" s="199" t="str">
        <f>VLOOKUP($C54,xe!$A:$B,2,0)</f>
        <v>50H-87055</v>
      </c>
      <c r="F54" s="194" t="str">
        <f>VLOOKUP($B54,ma!$A:$B,2,0)</f>
        <v>GIA HOÀNG TIỀN GIANG XÁ</v>
      </c>
      <c r="G54" s="195"/>
      <c r="H54" s="195"/>
      <c r="I54" s="196"/>
      <c r="J54" s="195"/>
      <c r="K54" s="196"/>
      <c r="L54" s="195"/>
      <c r="M54" s="197">
        <v>15.6</v>
      </c>
      <c r="N54" s="198">
        <f>VLOOKUP($B54,ma!$A:$C,3,0)</f>
        <v>230000</v>
      </c>
      <c r="O54" s="198">
        <f t="shared" si="0"/>
        <v>3588000</v>
      </c>
      <c r="P54" s="198">
        <f t="shared" si="5"/>
        <v>358800</v>
      </c>
      <c r="Q54" s="177"/>
      <c r="R54" s="177"/>
      <c r="S54" s="177"/>
      <c r="T54" s="177"/>
      <c r="U54" s="177"/>
      <c r="V54" s="22"/>
      <c r="W54" s="22"/>
      <c r="X54" s="22"/>
      <c r="Y54" s="22"/>
      <c r="Z54" s="22"/>
      <c r="AA54" s="22"/>
      <c r="AB54" s="22"/>
    </row>
    <row r="55" spans="1:28" ht="16">
      <c r="A55" s="190">
        <f t="shared" si="2"/>
        <v>50</v>
      </c>
      <c r="B55" s="191" t="s">
        <v>194</v>
      </c>
      <c r="C55" s="191" t="s">
        <v>40</v>
      </c>
      <c r="D55" s="192">
        <v>46181</v>
      </c>
      <c r="E55" s="199" t="str">
        <f>VLOOKUP($C55,xe!$A:$B,2,0)</f>
        <v>50E-757,74</v>
      </c>
      <c r="F55" s="194" t="str">
        <f>VLOOKUP($B55,ma!$A:$B,2,0)</f>
        <v>NDFC - NAIC BẾN LỨC</v>
      </c>
      <c r="G55" s="195"/>
      <c r="H55" s="195"/>
      <c r="I55" s="196"/>
      <c r="J55" s="195"/>
      <c r="K55" s="196"/>
      <c r="L55" s="195"/>
      <c r="M55" s="197">
        <v>1</v>
      </c>
      <c r="N55" s="198">
        <f>VLOOKUP($B55,ma!$A:$C,3,0)</f>
        <v>2400000</v>
      </c>
      <c r="O55" s="198">
        <f t="shared" si="0"/>
        <v>2400000</v>
      </c>
      <c r="P55" s="198">
        <f t="shared" si="5"/>
        <v>240000</v>
      </c>
      <c r="Q55" s="177"/>
      <c r="R55" s="177"/>
      <c r="S55" s="177"/>
      <c r="T55" s="177"/>
      <c r="U55" s="177"/>
      <c r="V55" s="22"/>
      <c r="W55" s="22"/>
      <c r="X55" s="22"/>
      <c r="Y55" s="22"/>
      <c r="Z55" s="22"/>
      <c r="AA55" s="22"/>
      <c r="AB55" s="22"/>
    </row>
    <row r="56" spans="1:28" ht="16">
      <c r="A56" s="190">
        <f t="shared" si="2"/>
        <v>51</v>
      </c>
      <c r="B56" s="191" t="s">
        <v>107</v>
      </c>
      <c r="C56" s="191" t="s">
        <v>42</v>
      </c>
      <c r="D56" s="192">
        <v>46181</v>
      </c>
      <c r="E56" s="199" t="str">
        <f>VLOOKUP($C56,xe!$A:$B,2,0)</f>
        <v>50H-75206</v>
      </c>
      <c r="F56" s="194" t="str">
        <f>VLOOKUP($B56,ma!$A:$B,2,0)</f>
        <v>QUẬN 8 PALLET</v>
      </c>
      <c r="G56" s="195"/>
      <c r="H56" s="195"/>
      <c r="I56" s="196"/>
      <c r="J56" s="195"/>
      <c r="K56" s="196"/>
      <c r="L56" s="195"/>
      <c r="M56" s="197">
        <v>12.93</v>
      </c>
      <c r="N56" s="198">
        <f>VLOOKUP($B56,ma!$A:$C,3,0)</f>
        <v>200000</v>
      </c>
      <c r="O56" s="198">
        <f t="shared" si="0"/>
        <v>2586000</v>
      </c>
      <c r="P56" s="198">
        <f t="shared" si="5"/>
        <v>258600</v>
      </c>
      <c r="Q56" s="177"/>
      <c r="R56" s="177"/>
      <c r="S56" s="177"/>
      <c r="T56" s="177"/>
      <c r="U56" s="177"/>
      <c r="V56" s="22"/>
      <c r="W56" s="22"/>
      <c r="X56" s="22"/>
      <c r="Y56" s="22"/>
      <c r="Z56" s="22"/>
      <c r="AA56" s="22"/>
      <c r="AB56" s="22"/>
    </row>
    <row r="57" spans="1:28" ht="16">
      <c r="A57" s="190">
        <f t="shared" si="2"/>
        <v>52</v>
      </c>
      <c r="B57" s="191" t="s">
        <v>109</v>
      </c>
      <c r="C57" s="191" t="s">
        <v>44</v>
      </c>
      <c r="D57" s="192">
        <v>46181</v>
      </c>
      <c r="E57" s="199" t="str">
        <f>VLOOKUP($C57,xe!$A:$B,2,0)</f>
        <v>50H-66347</v>
      </c>
      <c r="F57" s="194" t="str">
        <f>VLOOKUP($B57,ma!$A:$B,2,0)</f>
        <v>QUẬN 9 XÁ</v>
      </c>
      <c r="G57" s="195"/>
      <c r="H57" s="195"/>
      <c r="I57" s="196"/>
      <c r="J57" s="195"/>
      <c r="K57" s="196"/>
      <c r="L57" s="195"/>
      <c r="M57" s="197">
        <v>17.510000000000002</v>
      </c>
      <c r="N57" s="198">
        <f>VLOOKUP($B57,ma!$A:$C,3,0)</f>
        <v>200000</v>
      </c>
      <c r="O57" s="198">
        <f t="shared" si="0"/>
        <v>3502000.0000000005</v>
      </c>
      <c r="P57" s="198">
        <f t="shared" si="5"/>
        <v>350200.00000000006</v>
      </c>
      <c r="Q57" s="177"/>
      <c r="R57" s="177"/>
      <c r="S57" s="177"/>
      <c r="T57" s="177"/>
      <c r="U57" s="177"/>
      <c r="V57" s="22"/>
      <c r="W57" s="22"/>
      <c r="X57" s="22"/>
      <c r="Y57" s="22"/>
      <c r="Z57" s="22"/>
      <c r="AA57" s="22"/>
      <c r="AB57" s="22"/>
    </row>
    <row r="58" spans="1:28" ht="16">
      <c r="A58" s="200">
        <f t="shared" si="2"/>
        <v>53</v>
      </c>
      <c r="B58" s="201" t="s">
        <v>105</v>
      </c>
      <c r="C58" s="201" t="s">
        <v>32</v>
      </c>
      <c r="D58" s="202">
        <v>46182</v>
      </c>
      <c r="E58" s="203" t="str">
        <f>VLOOKUP($C58,xe!$A:$B,2,0)</f>
        <v>50E-648.73</v>
      </c>
      <c r="F58" s="204" t="str">
        <f>VLOOKUP($B58,ma!$A:$B,2,0)</f>
        <v>QUẬN 8 XÁ</v>
      </c>
      <c r="G58" s="205"/>
      <c r="H58" s="205"/>
      <c r="I58" s="206"/>
      <c r="J58" s="205"/>
      <c r="K58" s="206"/>
      <c r="L58" s="205"/>
      <c r="M58" s="207">
        <v>10.49</v>
      </c>
      <c r="N58" s="208">
        <f>VLOOKUP($B58,ma!$A:$C,3,0)</f>
        <v>200000</v>
      </c>
      <c r="O58" s="208">
        <f t="shared" si="0"/>
        <v>2098000</v>
      </c>
      <c r="P58" s="208">
        <f t="shared" si="5"/>
        <v>209800</v>
      </c>
      <c r="Q58" s="209"/>
      <c r="R58" s="209"/>
      <c r="S58" s="209"/>
      <c r="T58" s="209"/>
      <c r="U58" s="209"/>
      <c r="V58" s="210"/>
      <c r="W58" s="210"/>
      <c r="X58" s="210"/>
      <c r="Y58" s="210"/>
      <c r="Z58" s="210"/>
      <c r="AA58" s="210"/>
      <c r="AB58" s="210"/>
    </row>
    <row r="59" spans="1:28" ht="16">
      <c r="A59" s="190">
        <f t="shared" si="2"/>
        <v>54</v>
      </c>
      <c r="B59" s="191" t="s">
        <v>136</v>
      </c>
      <c r="C59" s="191" t="s">
        <v>36</v>
      </c>
      <c r="D59" s="192">
        <v>46182</v>
      </c>
      <c r="E59" s="199" t="str">
        <f>VLOOKUP($C59,xe!$A:$B,2,0)</f>
        <v>50E-324,01</v>
      </c>
      <c r="F59" s="194" t="str">
        <f>VLOOKUP($B59,ma!$A:$B,2,0)</f>
        <v>TUẤN LỘC Q7 PALLET</v>
      </c>
      <c r="G59" s="195"/>
      <c r="H59" s="195"/>
      <c r="I59" s="196"/>
      <c r="J59" s="195"/>
      <c r="K59" s="196"/>
      <c r="L59" s="195"/>
      <c r="M59" s="197"/>
      <c r="N59" s="198">
        <f>VLOOKUP($B59,ma!$A:$C,3,0)</f>
        <v>200000</v>
      </c>
      <c r="O59" s="198">
        <f t="shared" si="0"/>
        <v>0</v>
      </c>
      <c r="P59" s="198">
        <f t="shared" si="5"/>
        <v>0</v>
      </c>
      <c r="Q59" s="177"/>
      <c r="R59" s="177"/>
      <c r="S59" s="177"/>
      <c r="T59" s="177"/>
      <c r="U59" s="177"/>
      <c r="V59" s="22"/>
      <c r="W59" s="22"/>
      <c r="X59" s="22"/>
      <c r="Y59" s="22"/>
      <c r="Z59" s="22"/>
      <c r="AA59" s="22"/>
      <c r="AB59" s="22"/>
    </row>
    <row r="60" spans="1:28" ht="16">
      <c r="A60" s="190">
        <f t="shared" si="2"/>
        <v>55</v>
      </c>
      <c r="B60" s="191" t="s">
        <v>194</v>
      </c>
      <c r="C60" s="191" t="s">
        <v>38</v>
      </c>
      <c r="D60" s="192">
        <v>46182</v>
      </c>
      <c r="E60" s="199" t="str">
        <f>VLOOKUP($C60,xe!$A:$B,2,0)</f>
        <v>50H-87055</v>
      </c>
      <c r="F60" s="194" t="str">
        <f>VLOOKUP($B60,ma!$A:$B,2,0)</f>
        <v>NDFC - NAIC BẾN LỨC</v>
      </c>
      <c r="G60" s="195"/>
      <c r="H60" s="195"/>
      <c r="I60" s="196"/>
      <c r="J60" s="195"/>
      <c r="K60" s="196"/>
      <c r="L60" s="195"/>
      <c r="M60" s="197">
        <v>1</v>
      </c>
      <c r="N60" s="198">
        <f>VLOOKUP($B60,ma!$A:$C,3,0)</f>
        <v>2400000</v>
      </c>
      <c r="O60" s="198">
        <f t="shared" si="0"/>
        <v>2400000</v>
      </c>
      <c r="P60" s="198">
        <f t="shared" si="5"/>
        <v>240000</v>
      </c>
      <c r="Q60" s="209"/>
      <c r="R60" s="209"/>
      <c r="S60" s="209"/>
      <c r="T60" s="209"/>
      <c r="U60" s="209"/>
      <c r="V60" s="210"/>
      <c r="W60" s="210"/>
      <c r="X60" s="210"/>
      <c r="Y60" s="210"/>
      <c r="Z60" s="210"/>
      <c r="AA60" s="210"/>
      <c r="AB60" s="210"/>
    </row>
    <row r="61" spans="1:28" ht="16">
      <c r="A61" s="190">
        <f t="shared" si="2"/>
        <v>56</v>
      </c>
      <c r="B61" s="191" t="s">
        <v>196</v>
      </c>
      <c r="C61" s="191" t="s">
        <v>38</v>
      </c>
      <c r="D61" s="192">
        <v>46182</v>
      </c>
      <c r="E61" s="199" t="str">
        <f>VLOOKUP($C61,xe!$A:$B,2,0)</f>
        <v>50H-87055</v>
      </c>
      <c r="F61" s="194" t="str">
        <f>VLOOKUP($B61,ma!$A:$B,2,0)</f>
        <v>NAIC -UNI</v>
      </c>
      <c r="G61" s="195"/>
      <c r="H61" s="195"/>
      <c r="I61" s="196"/>
      <c r="J61" s="195"/>
      <c r="K61" s="196"/>
      <c r="L61" s="195"/>
      <c r="M61" s="197">
        <v>1</v>
      </c>
      <c r="N61" s="198">
        <f>VLOOKUP($B61,ma!$A:$C,3,0)</f>
        <v>1800000</v>
      </c>
      <c r="O61" s="198">
        <f t="shared" si="0"/>
        <v>1800000</v>
      </c>
      <c r="P61" s="198">
        <f t="shared" si="5"/>
        <v>180000</v>
      </c>
      <c r="Q61" s="177"/>
      <c r="R61" s="177"/>
      <c r="S61" s="177"/>
      <c r="T61" s="177"/>
      <c r="U61" s="177"/>
      <c r="V61" s="22"/>
      <c r="W61" s="22"/>
      <c r="X61" s="22"/>
      <c r="Y61" s="22"/>
      <c r="Z61" s="22"/>
      <c r="AA61" s="22"/>
      <c r="AB61" s="22"/>
    </row>
    <row r="62" spans="1:28" ht="16">
      <c r="A62" s="190">
        <f t="shared" si="2"/>
        <v>57</v>
      </c>
      <c r="B62" s="191" t="s">
        <v>103</v>
      </c>
      <c r="C62" s="191" t="s">
        <v>40</v>
      </c>
      <c r="D62" s="192">
        <v>46182</v>
      </c>
      <c r="E62" s="199" t="str">
        <f>VLOOKUP($C62,xe!$A:$B,2,0)</f>
        <v>50E-757,74</v>
      </c>
      <c r="F62" s="194" t="str">
        <f>VLOOKUP($B62,ma!$A:$B,2,0)</f>
        <v>PHẠM ANH QUẬN 6 PALLET</v>
      </c>
      <c r="G62" s="195"/>
      <c r="H62" s="195"/>
      <c r="I62" s="196"/>
      <c r="J62" s="195"/>
      <c r="K62" s="196"/>
      <c r="L62" s="195"/>
      <c r="M62" s="197">
        <v>13.43</v>
      </c>
      <c r="N62" s="198">
        <f>VLOOKUP($B62,ma!$A:$C,3,0)</f>
        <v>200000</v>
      </c>
      <c r="O62" s="198">
        <f t="shared" si="0"/>
        <v>2686000</v>
      </c>
      <c r="P62" s="198">
        <f t="shared" si="5"/>
        <v>268600</v>
      </c>
      <c r="Q62" s="177"/>
      <c r="R62" s="177"/>
      <c r="S62" s="177"/>
      <c r="T62" s="177"/>
      <c r="U62" s="177"/>
      <c r="V62" s="22"/>
      <c r="W62" s="22"/>
      <c r="X62" s="22"/>
      <c r="Y62" s="22"/>
      <c r="Z62" s="22"/>
      <c r="AA62" s="22"/>
      <c r="AB62" s="22"/>
    </row>
    <row r="63" spans="1:28" ht="16">
      <c r="A63" s="190">
        <f t="shared" si="2"/>
        <v>58</v>
      </c>
      <c r="B63" s="191" t="s">
        <v>194</v>
      </c>
      <c r="C63" s="191" t="s">
        <v>42</v>
      </c>
      <c r="D63" s="192">
        <v>46182</v>
      </c>
      <c r="E63" s="199" t="str">
        <f>VLOOKUP($C63,xe!$A:$B,2,0)</f>
        <v>50H-75206</v>
      </c>
      <c r="F63" s="194" t="str">
        <f>VLOOKUP($B63,ma!$A:$B,2,0)</f>
        <v>NDFC - NAIC BẾN LỨC</v>
      </c>
      <c r="G63" s="195"/>
      <c r="H63" s="195"/>
      <c r="I63" s="196"/>
      <c r="J63" s="195"/>
      <c r="K63" s="196"/>
      <c r="L63" s="195"/>
      <c r="M63" s="197">
        <v>1</v>
      </c>
      <c r="N63" s="198">
        <f>VLOOKUP($B63,ma!$A:$C,3,0)</f>
        <v>2400000</v>
      </c>
      <c r="O63" s="198">
        <f t="shared" si="0"/>
        <v>2400000</v>
      </c>
      <c r="P63" s="198">
        <f t="shared" si="5"/>
        <v>240000</v>
      </c>
      <c r="Q63" s="177"/>
      <c r="R63" s="177"/>
      <c r="S63" s="177"/>
      <c r="T63" s="177"/>
      <c r="U63" s="177"/>
      <c r="V63" s="22"/>
      <c r="W63" s="22"/>
      <c r="X63" s="22"/>
      <c r="Y63" s="22"/>
      <c r="Z63" s="22"/>
      <c r="AA63" s="22"/>
      <c r="AB63" s="22"/>
    </row>
    <row r="64" spans="1:28" ht="16">
      <c r="A64" s="190">
        <f t="shared" si="2"/>
        <v>59</v>
      </c>
      <c r="B64" s="191" t="s">
        <v>196</v>
      </c>
      <c r="C64" s="191" t="s">
        <v>42</v>
      </c>
      <c r="D64" s="192">
        <v>46182</v>
      </c>
      <c r="E64" s="199" t="str">
        <f>VLOOKUP($C64,xe!$A:$B,2,0)</f>
        <v>50H-75206</v>
      </c>
      <c r="F64" s="194" t="str">
        <f>VLOOKUP($B64,ma!$A:$B,2,0)</f>
        <v>NAIC -UNI</v>
      </c>
      <c r="G64" s="195"/>
      <c r="H64" s="195"/>
      <c r="I64" s="196"/>
      <c r="J64" s="195"/>
      <c r="K64" s="196"/>
      <c r="L64" s="195"/>
      <c r="M64" s="197">
        <v>1</v>
      </c>
      <c r="N64" s="198">
        <f>VLOOKUP($B64,ma!$A:$C,3,0)</f>
        <v>1800000</v>
      </c>
      <c r="O64" s="198">
        <f t="shared" si="0"/>
        <v>1800000</v>
      </c>
      <c r="P64" s="198">
        <f t="shared" si="5"/>
        <v>180000</v>
      </c>
      <c r="Q64" s="209"/>
      <c r="R64" s="209"/>
      <c r="S64" s="209"/>
      <c r="T64" s="209"/>
      <c r="U64" s="209"/>
      <c r="V64" s="210"/>
      <c r="W64" s="210"/>
      <c r="X64" s="210"/>
      <c r="Y64" s="210"/>
      <c r="Z64" s="210"/>
      <c r="AA64" s="210"/>
      <c r="AB64" s="210"/>
    </row>
    <row r="65" spans="1:28" ht="16">
      <c r="A65" s="190">
        <f t="shared" si="2"/>
        <v>60</v>
      </c>
      <c r="B65" s="191" t="s">
        <v>136</v>
      </c>
      <c r="C65" s="191" t="s">
        <v>44</v>
      </c>
      <c r="D65" s="192">
        <v>46182</v>
      </c>
      <c r="E65" s="199" t="str">
        <f>VLOOKUP($C65,xe!$A:$B,2,0)</f>
        <v>50H-66347</v>
      </c>
      <c r="F65" s="194" t="str">
        <f>VLOOKUP($B65,ma!$A:$B,2,0)</f>
        <v>TUẤN LỘC Q7 PALLET</v>
      </c>
      <c r="G65" s="195"/>
      <c r="H65" s="195"/>
      <c r="I65" s="196"/>
      <c r="J65" s="195"/>
      <c r="K65" s="196"/>
      <c r="L65" s="195"/>
      <c r="M65" s="197"/>
      <c r="N65" s="198">
        <f>VLOOKUP($B65,ma!$A:$C,3,0)</f>
        <v>200000</v>
      </c>
      <c r="O65" s="198">
        <f t="shared" si="0"/>
        <v>0</v>
      </c>
      <c r="P65" s="198">
        <f t="shared" si="5"/>
        <v>0</v>
      </c>
      <c r="Q65" s="177"/>
      <c r="R65" s="177"/>
      <c r="S65" s="177"/>
      <c r="T65" s="177"/>
      <c r="U65" s="177"/>
      <c r="V65" s="22"/>
      <c r="W65" s="22"/>
      <c r="X65" s="22"/>
      <c r="Y65" s="22"/>
      <c r="Z65" s="22"/>
      <c r="AA65" s="22"/>
      <c r="AB65" s="22"/>
    </row>
    <row r="66" spans="1:28" ht="16">
      <c r="A66" s="190">
        <f t="shared" si="2"/>
        <v>61</v>
      </c>
      <c r="B66" s="191" t="s">
        <v>91</v>
      </c>
      <c r="C66" s="191" t="s">
        <v>44</v>
      </c>
      <c r="D66" s="192">
        <v>46182</v>
      </c>
      <c r="E66" s="199" t="str">
        <f>VLOOKUP($C66,xe!$A:$B,2,0)</f>
        <v>50H-66347</v>
      </c>
      <c r="F66" s="194" t="str">
        <f>VLOOKUP($B66,ma!$A:$B,2,0)</f>
        <v>CALOFIC - UNI ( xe lớn )</v>
      </c>
      <c r="G66" s="195"/>
      <c r="H66" s="195"/>
      <c r="I66" s="196"/>
      <c r="J66" s="195"/>
      <c r="K66" s="196"/>
      <c r="L66" s="195"/>
      <c r="M66" s="197">
        <v>1</v>
      </c>
      <c r="N66" s="198">
        <f>VLOOKUP($B66,ma!$A:$C,3,0)</f>
        <v>400000</v>
      </c>
      <c r="O66" s="198">
        <f t="shared" si="0"/>
        <v>400000</v>
      </c>
      <c r="P66" s="198">
        <v>100000</v>
      </c>
      <c r="Q66" s="177"/>
      <c r="R66" s="177"/>
      <c r="S66" s="177"/>
      <c r="T66" s="177"/>
      <c r="U66" s="177"/>
      <c r="V66" s="22"/>
      <c r="W66" s="22"/>
      <c r="X66" s="22"/>
      <c r="Y66" s="22"/>
      <c r="Z66" s="22"/>
      <c r="AA66" s="22"/>
      <c r="AB66" s="22"/>
    </row>
    <row r="67" spans="1:28" ht="16">
      <c r="A67" s="200">
        <f>A65+1</f>
        <v>61</v>
      </c>
      <c r="B67" s="201" t="s">
        <v>2093</v>
      </c>
      <c r="C67" s="201" t="s">
        <v>2089</v>
      </c>
      <c r="D67" s="202">
        <v>46183</v>
      </c>
      <c r="E67" s="215" t="str">
        <f>VLOOKUP($C67,xe!$A:$B,2,0)</f>
        <v>50E-654.34</v>
      </c>
      <c r="F67" s="204" t="str">
        <f>VLOOKUP($B67,ma!$A:$B,2,0)</f>
        <v>PHẠM ANH QUẬN 6 PALLET</v>
      </c>
      <c r="G67" s="205"/>
      <c r="H67" s="205"/>
      <c r="I67" s="206"/>
      <c r="J67" s="205"/>
      <c r="K67" s="206"/>
      <c r="L67" s="211"/>
      <c r="M67" s="212">
        <v>6.23</v>
      </c>
      <c r="N67" s="208">
        <f>VLOOKUP($B67,ma!$A:$C,3,0)</f>
        <v>200000</v>
      </c>
      <c r="O67" s="208">
        <f t="shared" si="0"/>
        <v>1246000</v>
      </c>
      <c r="P67" s="208">
        <f t="shared" ref="P67:P69" si="6">O67*10%</f>
        <v>124600</v>
      </c>
      <c r="Q67" s="209"/>
      <c r="R67" s="209"/>
      <c r="S67" s="209"/>
      <c r="T67" s="209"/>
      <c r="U67" s="209"/>
      <c r="V67" s="210"/>
      <c r="W67" s="210"/>
      <c r="X67" s="210"/>
      <c r="Y67" s="210"/>
      <c r="Z67" s="210"/>
      <c r="AA67" s="210"/>
      <c r="AB67" s="210"/>
    </row>
    <row r="68" spans="1:28" ht="16">
      <c r="A68" s="190">
        <f t="shared" ref="A68:A252" si="7">A67+1</f>
        <v>62</v>
      </c>
      <c r="B68" s="191" t="s">
        <v>2094</v>
      </c>
      <c r="C68" s="191" t="s">
        <v>2089</v>
      </c>
      <c r="D68" s="192">
        <v>46183</v>
      </c>
      <c r="E68" s="199" t="str">
        <f>VLOOKUP($C68,xe!$A:$B,2,0)</f>
        <v>50E-654.34</v>
      </c>
      <c r="F68" s="194" t="str">
        <f>VLOOKUP($B68,ma!$A:$B,2,0)</f>
        <v>NDFC - NAIC BẾN LỨC</v>
      </c>
      <c r="G68" s="195"/>
      <c r="H68" s="195"/>
      <c r="I68" s="196"/>
      <c r="J68" s="195"/>
      <c r="K68" s="196"/>
      <c r="L68" s="195"/>
      <c r="M68" s="197">
        <v>1</v>
      </c>
      <c r="N68" s="198">
        <f>VLOOKUP($B68,ma!$A:$C,3,0)</f>
        <v>2400000</v>
      </c>
      <c r="O68" s="198">
        <f t="shared" si="0"/>
        <v>2400000</v>
      </c>
      <c r="P68" s="198">
        <f t="shared" si="6"/>
        <v>240000</v>
      </c>
      <c r="Q68" s="177"/>
      <c r="R68" s="177"/>
      <c r="S68" s="177"/>
      <c r="T68" s="177"/>
      <c r="U68" s="177"/>
      <c r="V68" s="22"/>
      <c r="W68" s="22"/>
      <c r="X68" s="22"/>
      <c r="Y68" s="22"/>
      <c r="Z68" s="22"/>
      <c r="AA68" s="22"/>
      <c r="AB68" s="22"/>
    </row>
    <row r="69" spans="1:28" ht="16">
      <c r="A69" s="190">
        <f t="shared" si="7"/>
        <v>63</v>
      </c>
      <c r="B69" s="191" t="s">
        <v>2095</v>
      </c>
      <c r="C69" s="191" t="s">
        <v>2089</v>
      </c>
      <c r="D69" s="192">
        <v>46183</v>
      </c>
      <c r="E69" s="199" t="str">
        <f>VLOOKUP($C69,xe!$A:$B,2,0)</f>
        <v>50E-654.34</v>
      </c>
      <c r="F69" s="194" t="str">
        <f>VLOOKUP($B69,ma!$A:$B,2,0)</f>
        <v>NAIC -UNI</v>
      </c>
      <c r="G69" s="195"/>
      <c r="H69" s="195"/>
      <c r="I69" s="196"/>
      <c r="J69" s="195"/>
      <c r="K69" s="196"/>
      <c r="L69" s="195"/>
      <c r="M69" s="197">
        <v>1</v>
      </c>
      <c r="N69" s="198">
        <f>VLOOKUP($B69,ma!$A:$C,3,0)</f>
        <v>1800000</v>
      </c>
      <c r="O69" s="198">
        <f t="shared" si="0"/>
        <v>1800000</v>
      </c>
      <c r="P69" s="198">
        <f t="shared" si="6"/>
        <v>180000</v>
      </c>
      <c r="Q69" s="177"/>
      <c r="R69" s="177"/>
      <c r="S69" s="177"/>
      <c r="T69" s="177"/>
      <c r="U69" s="177"/>
      <c r="V69" s="22"/>
      <c r="W69" s="22"/>
      <c r="X69" s="22"/>
      <c r="Y69" s="22"/>
      <c r="Z69" s="22"/>
      <c r="AA69" s="22"/>
      <c r="AB69" s="22"/>
    </row>
    <row r="70" spans="1:28" ht="16">
      <c r="A70" s="190">
        <f t="shared" si="7"/>
        <v>64</v>
      </c>
      <c r="B70" s="191" t="s">
        <v>91</v>
      </c>
      <c r="C70" s="191" t="s">
        <v>36</v>
      </c>
      <c r="D70" s="192">
        <v>46183</v>
      </c>
      <c r="E70" s="199" t="str">
        <f>VLOOKUP($C70,xe!$A:$B,2,0)</f>
        <v>50E-324,01</v>
      </c>
      <c r="F70" s="194" t="str">
        <f>VLOOKUP($B70,ma!$A:$B,2,0)</f>
        <v>CALOFIC - UNI ( xe lớn )</v>
      </c>
      <c r="G70" s="195"/>
      <c r="H70" s="195"/>
      <c r="I70" s="196"/>
      <c r="J70" s="195"/>
      <c r="K70" s="196"/>
      <c r="L70" s="195"/>
      <c r="M70" s="197">
        <v>1</v>
      </c>
      <c r="N70" s="198">
        <f>VLOOKUP($B70,ma!$A:$C,3,0)</f>
        <v>400000</v>
      </c>
      <c r="O70" s="198">
        <f t="shared" si="0"/>
        <v>400000</v>
      </c>
      <c r="P70" s="198">
        <v>100000</v>
      </c>
      <c r="Q70" s="177"/>
      <c r="R70" s="177"/>
      <c r="S70" s="177"/>
      <c r="T70" s="177"/>
      <c r="U70" s="177"/>
      <c r="V70" s="22"/>
      <c r="W70" s="22"/>
      <c r="X70" s="22"/>
      <c r="Y70" s="22"/>
      <c r="Z70" s="22"/>
      <c r="AA70" s="22"/>
      <c r="AB70" s="22"/>
    </row>
    <row r="71" spans="1:28" ht="16">
      <c r="A71" s="190">
        <f t="shared" si="7"/>
        <v>65</v>
      </c>
      <c r="B71" s="191" t="s">
        <v>2096</v>
      </c>
      <c r="C71" s="191" t="s">
        <v>36</v>
      </c>
      <c r="D71" s="192">
        <v>46183</v>
      </c>
      <c r="E71" s="199" t="str">
        <f>VLOOKUP($C71,xe!$A:$B,2,0)</f>
        <v>50E-324,01</v>
      </c>
      <c r="F71" s="194" t="str">
        <f>VLOOKUP($B71,ma!$A:$B,2,0)</f>
        <v>TUẤN LỘC Q7 PALLET</v>
      </c>
      <c r="G71" s="195"/>
      <c r="H71" s="195"/>
      <c r="I71" s="196"/>
      <c r="J71" s="195"/>
      <c r="K71" s="196"/>
      <c r="L71" s="195"/>
      <c r="M71" s="197">
        <v>13.75</v>
      </c>
      <c r="N71" s="198">
        <f>VLOOKUP($B71,ma!$A:$C,3,0)</f>
        <v>200000</v>
      </c>
      <c r="O71" s="198">
        <f t="shared" si="0"/>
        <v>2750000</v>
      </c>
      <c r="P71" s="198">
        <f t="shared" ref="P71:P104" si="8">O71*10%</f>
        <v>275000</v>
      </c>
      <c r="Q71" s="177"/>
      <c r="R71" s="177"/>
      <c r="S71" s="177"/>
      <c r="T71" s="177"/>
      <c r="U71" s="177"/>
      <c r="V71" s="22"/>
      <c r="W71" s="22"/>
      <c r="X71" s="22"/>
      <c r="Y71" s="22"/>
      <c r="Z71" s="22"/>
      <c r="AA71" s="22"/>
      <c r="AB71" s="22"/>
    </row>
    <row r="72" spans="1:28" ht="16">
      <c r="A72" s="190">
        <f t="shared" si="7"/>
        <v>66</v>
      </c>
      <c r="B72" s="191" t="s">
        <v>2096</v>
      </c>
      <c r="C72" s="191" t="s">
        <v>2097</v>
      </c>
      <c r="D72" s="192">
        <v>46183</v>
      </c>
      <c r="E72" s="199" t="str">
        <f>VLOOKUP($C72,xe!$A:$B,2,0)</f>
        <v>50E-324,01</v>
      </c>
      <c r="F72" s="194" t="str">
        <f>VLOOKUP($B72,ma!$A:$B,2,0)</f>
        <v>TUẤN LỘC Q7 PALLET</v>
      </c>
      <c r="G72" s="195"/>
      <c r="H72" s="195"/>
      <c r="I72" s="196"/>
      <c r="J72" s="195"/>
      <c r="K72" s="196"/>
      <c r="L72" s="195"/>
      <c r="M72" s="197">
        <v>13.01</v>
      </c>
      <c r="N72" s="198">
        <f>VLOOKUP($B72,ma!$A:$C,3,0)</f>
        <v>200000</v>
      </c>
      <c r="O72" s="198">
        <f t="shared" si="0"/>
        <v>2602000</v>
      </c>
      <c r="P72" s="198">
        <f t="shared" si="8"/>
        <v>260200</v>
      </c>
      <c r="Q72" s="177"/>
      <c r="R72" s="177"/>
      <c r="S72" s="177"/>
      <c r="T72" s="177"/>
      <c r="U72" s="177"/>
      <c r="V72" s="22"/>
      <c r="W72" s="22"/>
      <c r="X72" s="22"/>
      <c r="Y72" s="22"/>
      <c r="Z72" s="22"/>
      <c r="AA72" s="22"/>
      <c r="AB72" s="22"/>
    </row>
    <row r="73" spans="1:28" ht="16">
      <c r="A73" s="190">
        <f t="shared" si="7"/>
        <v>67</v>
      </c>
      <c r="B73" s="191" t="s">
        <v>2098</v>
      </c>
      <c r="C73" s="191" t="s">
        <v>38</v>
      </c>
      <c r="D73" s="192">
        <v>46183</v>
      </c>
      <c r="E73" s="199" t="str">
        <f>VLOOKUP($C73,xe!$A:$B,2,0)</f>
        <v>50H-87055</v>
      </c>
      <c r="F73" s="194" t="str">
        <f>VLOOKUP($B73,ma!$A:$B,2,0)</f>
        <v>QUẬN 8 PALLET</v>
      </c>
      <c r="G73" s="195"/>
      <c r="H73" s="195"/>
      <c r="I73" s="196"/>
      <c r="J73" s="195"/>
      <c r="K73" s="196"/>
      <c r="L73" s="195"/>
      <c r="M73" s="197">
        <v>14.18</v>
      </c>
      <c r="N73" s="198">
        <f>VLOOKUP($B73,ma!$A:$C,3,0)</f>
        <v>200000</v>
      </c>
      <c r="O73" s="198">
        <f t="shared" si="0"/>
        <v>2836000</v>
      </c>
      <c r="P73" s="198">
        <f t="shared" si="8"/>
        <v>283600</v>
      </c>
      <c r="Q73" s="177"/>
      <c r="R73" s="177"/>
      <c r="S73" s="177"/>
      <c r="T73" s="177"/>
      <c r="U73" s="177"/>
      <c r="V73" s="22"/>
      <c r="W73" s="22"/>
      <c r="X73" s="22"/>
      <c r="Y73" s="22"/>
      <c r="Z73" s="22"/>
      <c r="AA73" s="22"/>
      <c r="AB73" s="22"/>
    </row>
    <row r="74" spans="1:28" ht="16">
      <c r="A74" s="190">
        <f t="shared" si="7"/>
        <v>68</v>
      </c>
      <c r="B74" s="191" t="s">
        <v>2099</v>
      </c>
      <c r="C74" s="191" t="s">
        <v>40</v>
      </c>
      <c r="D74" s="192">
        <v>46183</v>
      </c>
      <c r="E74" s="199" t="str">
        <f>VLOOKUP($C74,xe!$A:$B,2,0)</f>
        <v>50E-757,74</v>
      </c>
      <c r="F74" s="194" t="str">
        <f>VLOOKUP($B74,ma!$A:$B,2,0)</f>
        <v>PHAN MINH VŨ-BIÊN HOÀ PALLET</v>
      </c>
      <c r="G74" s="195"/>
      <c r="H74" s="195"/>
      <c r="I74" s="196"/>
      <c r="J74" s="195"/>
      <c r="K74" s="196"/>
      <c r="L74" s="195"/>
      <c r="M74" s="197">
        <v>13.99</v>
      </c>
      <c r="N74" s="198">
        <f>VLOOKUP($B74,ma!$A:$C,3,0)</f>
        <v>238000</v>
      </c>
      <c r="O74" s="198">
        <f t="shared" si="0"/>
        <v>3329620</v>
      </c>
      <c r="P74" s="198">
        <f t="shared" si="8"/>
        <v>332962</v>
      </c>
      <c r="Q74" s="209"/>
      <c r="R74" s="209"/>
      <c r="S74" s="209"/>
      <c r="T74" s="209"/>
      <c r="U74" s="209"/>
      <c r="V74" s="210"/>
      <c r="W74" s="210"/>
      <c r="X74" s="210"/>
      <c r="Y74" s="210"/>
      <c r="Z74" s="210"/>
      <c r="AA74" s="210"/>
      <c r="AB74" s="210"/>
    </row>
    <row r="75" spans="1:28" ht="16">
      <c r="A75" s="190">
        <f t="shared" si="7"/>
        <v>69</v>
      </c>
      <c r="B75" s="191" t="s">
        <v>2094</v>
      </c>
      <c r="C75" s="191" t="s">
        <v>40</v>
      </c>
      <c r="D75" s="192">
        <v>46183</v>
      </c>
      <c r="E75" s="199" t="str">
        <f>VLOOKUP($C75,xe!$A:$B,2,0)</f>
        <v>50E-757,74</v>
      </c>
      <c r="F75" s="194" t="str">
        <f>VLOOKUP($B75,ma!$A:$B,2,0)</f>
        <v>NDFC - NAIC BẾN LỨC</v>
      </c>
      <c r="G75" s="195"/>
      <c r="H75" s="195"/>
      <c r="I75" s="196"/>
      <c r="J75" s="195"/>
      <c r="K75" s="196"/>
      <c r="L75" s="195"/>
      <c r="M75" s="197">
        <v>1</v>
      </c>
      <c r="N75" s="198">
        <f>VLOOKUP($B75,ma!$A:$C,3,0)</f>
        <v>2400000</v>
      </c>
      <c r="O75" s="198">
        <f t="shared" si="0"/>
        <v>2400000</v>
      </c>
      <c r="P75" s="198">
        <f t="shared" si="8"/>
        <v>240000</v>
      </c>
      <c r="Q75" s="177"/>
      <c r="R75" s="177"/>
      <c r="S75" s="177"/>
      <c r="T75" s="177"/>
      <c r="U75" s="177"/>
      <c r="V75" s="22"/>
      <c r="W75" s="22"/>
      <c r="X75" s="22"/>
      <c r="Y75" s="22"/>
      <c r="Z75" s="22"/>
      <c r="AA75" s="22"/>
      <c r="AB75" s="22"/>
    </row>
    <row r="76" spans="1:28" ht="16">
      <c r="A76" s="190">
        <f t="shared" si="7"/>
        <v>70</v>
      </c>
      <c r="B76" s="191" t="s">
        <v>2095</v>
      </c>
      <c r="C76" s="191" t="s">
        <v>40</v>
      </c>
      <c r="D76" s="192">
        <v>46183</v>
      </c>
      <c r="E76" s="199" t="str">
        <f>VLOOKUP($C76,xe!$A:$B,2,0)</f>
        <v>50E-757,74</v>
      </c>
      <c r="F76" s="194" t="str">
        <f>VLOOKUP($B76,ma!$A:$B,2,0)</f>
        <v>NAIC -UNI</v>
      </c>
      <c r="G76" s="195"/>
      <c r="H76" s="195"/>
      <c r="I76" s="196"/>
      <c r="J76" s="195"/>
      <c r="K76" s="196"/>
      <c r="L76" s="195"/>
      <c r="M76" s="197">
        <v>1</v>
      </c>
      <c r="N76" s="198">
        <f>VLOOKUP($B76,ma!$A:$C,3,0)</f>
        <v>1800000</v>
      </c>
      <c r="O76" s="198">
        <f t="shared" si="0"/>
        <v>1800000</v>
      </c>
      <c r="P76" s="198">
        <f t="shared" si="8"/>
        <v>180000</v>
      </c>
      <c r="Q76" s="177"/>
      <c r="R76" s="177"/>
      <c r="S76" s="177"/>
      <c r="T76" s="177"/>
      <c r="U76" s="177"/>
      <c r="V76" s="22"/>
      <c r="W76" s="22"/>
      <c r="X76" s="22"/>
      <c r="Y76" s="22"/>
      <c r="Z76" s="22"/>
      <c r="AA76" s="22"/>
      <c r="AB76" s="22"/>
    </row>
    <row r="77" spans="1:28" ht="16">
      <c r="A77" s="190">
        <f t="shared" si="7"/>
        <v>71</v>
      </c>
      <c r="B77" s="191" t="s">
        <v>2094</v>
      </c>
      <c r="C77" s="191" t="s">
        <v>42</v>
      </c>
      <c r="D77" s="192">
        <v>46183</v>
      </c>
      <c r="E77" s="199" t="str">
        <f>VLOOKUP($C77,xe!$A:$B,2,0)</f>
        <v>50H-75206</v>
      </c>
      <c r="F77" s="194" t="str">
        <f>VLOOKUP($B77,ma!$A:$B,2,0)</f>
        <v>NDFC - NAIC BẾN LỨC</v>
      </c>
      <c r="G77" s="195"/>
      <c r="H77" s="195"/>
      <c r="I77" s="196"/>
      <c r="J77" s="195"/>
      <c r="K77" s="196"/>
      <c r="L77" s="195"/>
      <c r="M77" s="197">
        <v>1</v>
      </c>
      <c r="N77" s="198">
        <f>VLOOKUP($B77,ma!$A:$C,3,0)</f>
        <v>2400000</v>
      </c>
      <c r="O77" s="198">
        <f t="shared" si="0"/>
        <v>2400000</v>
      </c>
      <c r="P77" s="198">
        <f t="shared" si="8"/>
        <v>240000</v>
      </c>
      <c r="Q77" s="177"/>
      <c r="R77" s="177"/>
      <c r="S77" s="177"/>
      <c r="T77" s="177"/>
      <c r="U77" s="177"/>
      <c r="V77" s="22"/>
      <c r="W77" s="22"/>
      <c r="X77" s="22"/>
      <c r="Y77" s="22"/>
      <c r="Z77" s="22"/>
      <c r="AA77" s="22"/>
      <c r="AB77" s="22"/>
    </row>
    <row r="78" spans="1:28" ht="16">
      <c r="A78" s="190">
        <f t="shared" si="7"/>
        <v>72</v>
      </c>
      <c r="B78" s="191" t="s">
        <v>2093</v>
      </c>
      <c r="C78" s="191" t="s">
        <v>42</v>
      </c>
      <c r="D78" s="192">
        <v>46183</v>
      </c>
      <c r="E78" s="199" t="str">
        <f>VLOOKUP($C78,xe!$A:$B,2,0)</f>
        <v>50H-75206</v>
      </c>
      <c r="F78" s="194" t="str">
        <f>VLOOKUP($B78,ma!$A:$B,2,0)</f>
        <v>PHẠM ANH QUẬN 6 PALLET</v>
      </c>
      <c r="G78" s="195"/>
      <c r="H78" s="195"/>
      <c r="I78" s="196"/>
      <c r="J78" s="195"/>
      <c r="K78" s="196"/>
      <c r="L78" s="195"/>
      <c r="M78" s="197">
        <v>11.84</v>
      </c>
      <c r="N78" s="198">
        <f>VLOOKUP($B78,ma!$A:$C,3,0)</f>
        <v>200000</v>
      </c>
      <c r="O78" s="198">
        <f t="shared" si="0"/>
        <v>2368000</v>
      </c>
      <c r="P78" s="198">
        <f t="shared" si="8"/>
        <v>236800</v>
      </c>
      <c r="Q78" s="177"/>
      <c r="R78" s="177"/>
      <c r="S78" s="177"/>
      <c r="T78" s="177"/>
      <c r="U78" s="177"/>
      <c r="V78" s="22"/>
      <c r="W78" s="22"/>
      <c r="X78" s="22"/>
      <c r="Y78" s="22"/>
      <c r="Z78" s="22"/>
      <c r="AA78" s="22"/>
      <c r="AB78" s="22"/>
    </row>
    <row r="79" spans="1:28" ht="16">
      <c r="A79" s="190">
        <f t="shared" si="7"/>
        <v>73</v>
      </c>
      <c r="B79" s="191" t="s">
        <v>2094</v>
      </c>
      <c r="C79" s="191" t="s">
        <v>44</v>
      </c>
      <c r="D79" s="192">
        <v>46183</v>
      </c>
      <c r="E79" s="199" t="str">
        <f>VLOOKUP($C79,xe!$A:$B,2,0)</f>
        <v>50H-66347</v>
      </c>
      <c r="F79" s="194" t="str">
        <f>VLOOKUP($B79,ma!$A:$B,2,0)</f>
        <v>NDFC - NAIC BẾN LỨC</v>
      </c>
      <c r="G79" s="195"/>
      <c r="H79" s="195"/>
      <c r="I79" s="196"/>
      <c r="J79" s="195"/>
      <c r="K79" s="196"/>
      <c r="L79" s="195"/>
      <c r="M79" s="197">
        <v>1</v>
      </c>
      <c r="N79" s="198">
        <f>VLOOKUP($B79,ma!$A:$C,3,0)</f>
        <v>2400000</v>
      </c>
      <c r="O79" s="198">
        <f t="shared" si="0"/>
        <v>2400000</v>
      </c>
      <c r="P79" s="198">
        <f t="shared" si="8"/>
        <v>240000</v>
      </c>
      <c r="Q79" s="177"/>
      <c r="R79" s="177"/>
      <c r="S79" s="177"/>
      <c r="T79" s="177"/>
      <c r="U79" s="177"/>
      <c r="V79" s="22"/>
      <c r="W79" s="22"/>
      <c r="X79" s="22"/>
      <c r="Y79" s="22"/>
      <c r="Z79" s="22"/>
      <c r="AA79" s="22"/>
      <c r="AB79" s="22"/>
    </row>
    <row r="80" spans="1:28" ht="16">
      <c r="A80" s="190">
        <f t="shared" si="7"/>
        <v>74</v>
      </c>
      <c r="B80" s="191" t="s">
        <v>2098</v>
      </c>
      <c r="C80" s="191" t="s">
        <v>44</v>
      </c>
      <c r="D80" s="192">
        <v>46183</v>
      </c>
      <c r="E80" s="199" t="str">
        <f>VLOOKUP($C80,xe!$A:$B,2,0)</f>
        <v>50H-66347</v>
      </c>
      <c r="F80" s="194" t="str">
        <f>VLOOKUP($B80,ma!$A:$B,2,0)</f>
        <v>QUẬN 8 PALLET</v>
      </c>
      <c r="G80" s="195"/>
      <c r="H80" s="195"/>
      <c r="I80" s="196"/>
      <c r="J80" s="195"/>
      <c r="K80" s="196"/>
      <c r="L80" s="195"/>
      <c r="M80" s="197">
        <v>14.28</v>
      </c>
      <c r="N80" s="198">
        <f>VLOOKUP($B80,ma!$A:$C,3,0)</f>
        <v>200000</v>
      </c>
      <c r="O80" s="198">
        <f t="shared" si="0"/>
        <v>2856000</v>
      </c>
      <c r="P80" s="198">
        <f t="shared" si="8"/>
        <v>285600</v>
      </c>
      <c r="Q80" s="177"/>
      <c r="R80" s="177"/>
      <c r="S80" s="177"/>
      <c r="T80" s="177"/>
      <c r="U80" s="177"/>
      <c r="V80" s="22"/>
      <c r="W80" s="22"/>
      <c r="X80" s="22"/>
      <c r="Y80" s="22"/>
      <c r="Z80" s="22"/>
      <c r="AA80" s="22"/>
      <c r="AB80" s="22"/>
    </row>
    <row r="81" spans="1:28" ht="16">
      <c r="A81" s="200">
        <f t="shared" si="7"/>
        <v>75</v>
      </c>
      <c r="B81" s="201" t="s">
        <v>240</v>
      </c>
      <c r="C81" s="201" t="s">
        <v>32</v>
      </c>
      <c r="D81" s="202">
        <v>46184</v>
      </c>
      <c r="E81" s="203" t="str">
        <f>VLOOKUP($C81,xe!$A:$B,2,0)</f>
        <v>50E-648.73</v>
      </c>
      <c r="F81" s="204" t="str">
        <f>VLOOKUP($B81,ma!$A:$B,2,0)</f>
        <v>JOLIBEE XE LỚN</v>
      </c>
      <c r="G81" s="205"/>
      <c r="H81" s="205"/>
      <c r="I81" s="206"/>
      <c r="J81" s="205"/>
      <c r="K81" s="206"/>
      <c r="L81" s="205"/>
      <c r="M81" s="207">
        <v>12.49</v>
      </c>
      <c r="N81" s="208">
        <f>VLOOKUP($B81,ma!$A:$C,3,0)</f>
        <v>200000</v>
      </c>
      <c r="O81" s="208">
        <f t="shared" si="0"/>
        <v>2498000</v>
      </c>
      <c r="P81" s="208">
        <f t="shared" si="8"/>
        <v>249800</v>
      </c>
      <c r="Q81" s="209"/>
      <c r="R81" s="209"/>
      <c r="S81" s="209"/>
      <c r="T81" s="209"/>
      <c r="U81" s="209"/>
      <c r="V81" s="210"/>
      <c r="W81" s="210"/>
      <c r="X81" s="210"/>
      <c r="Y81" s="210"/>
      <c r="Z81" s="210"/>
      <c r="AA81" s="210"/>
      <c r="AB81" s="210"/>
    </row>
    <row r="82" spans="1:28" ht="16">
      <c r="A82" s="190">
        <f t="shared" si="7"/>
        <v>76</v>
      </c>
      <c r="B82" s="191" t="s">
        <v>196</v>
      </c>
      <c r="C82" s="191" t="s">
        <v>32</v>
      </c>
      <c r="D82" s="192">
        <v>46184</v>
      </c>
      <c r="E82" s="193" t="str">
        <f>VLOOKUP($C82,xe!$A:$B,2,0)</f>
        <v>50E-648.73</v>
      </c>
      <c r="F82" s="194" t="str">
        <f>VLOOKUP($B82,ma!$A:$B,2,0)</f>
        <v>NAIC -UNI</v>
      </c>
      <c r="G82" s="195"/>
      <c r="H82" s="195"/>
      <c r="I82" s="196"/>
      <c r="J82" s="195"/>
      <c r="K82" s="196"/>
      <c r="L82" s="195"/>
      <c r="M82" s="197">
        <v>1</v>
      </c>
      <c r="N82" s="198">
        <f>VLOOKUP($B82,ma!$A:$C,3,0)</f>
        <v>1800000</v>
      </c>
      <c r="O82" s="198">
        <f t="shared" si="0"/>
        <v>1800000</v>
      </c>
      <c r="P82" s="198">
        <f t="shared" si="8"/>
        <v>180000</v>
      </c>
      <c r="Q82" s="177"/>
      <c r="R82" s="177"/>
      <c r="S82" s="177"/>
      <c r="T82" s="177"/>
      <c r="U82" s="177"/>
      <c r="V82" s="22"/>
      <c r="W82" s="22"/>
      <c r="X82" s="22"/>
      <c r="Y82" s="22"/>
      <c r="Z82" s="22"/>
      <c r="AA82" s="22"/>
      <c r="AB82" s="22"/>
    </row>
    <row r="83" spans="1:28" ht="16">
      <c r="A83" s="190">
        <f t="shared" si="7"/>
        <v>77</v>
      </c>
      <c r="B83" s="191" t="s">
        <v>107</v>
      </c>
      <c r="C83" s="191" t="s">
        <v>2089</v>
      </c>
      <c r="D83" s="192">
        <v>46184</v>
      </c>
      <c r="E83" s="199" t="str">
        <f>VLOOKUP($C83,xe!$A:$B,2,0)</f>
        <v>50E-654.34</v>
      </c>
      <c r="F83" s="194" t="str">
        <f>VLOOKUP($B83,ma!$A:$B,2,0)</f>
        <v>QUẬN 8 PALLET</v>
      </c>
      <c r="G83" s="195"/>
      <c r="H83" s="195"/>
      <c r="I83" s="196"/>
      <c r="J83" s="195"/>
      <c r="K83" s="196"/>
      <c r="L83" s="195"/>
      <c r="M83" s="197">
        <v>12.48</v>
      </c>
      <c r="N83" s="198">
        <f>VLOOKUP($B83,ma!$A:$C,3,0)</f>
        <v>200000</v>
      </c>
      <c r="O83" s="198">
        <f t="shared" si="0"/>
        <v>2496000</v>
      </c>
      <c r="P83" s="198">
        <f t="shared" si="8"/>
        <v>249600</v>
      </c>
      <c r="Q83" s="177"/>
      <c r="R83" s="177"/>
      <c r="S83" s="177"/>
      <c r="T83" s="177"/>
      <c r="U83" s="177"/>
      <c r="V83" s="22"/>
      <c r="W83" s="22"/>
      <c r="X83" s="22"/>
      <c r="Y83" s="22"/>
      <c r="Z83" s="22"/>
      <c r="AA83" s="22"/>
      <c r="AB83" s="22"/>
    </row>
    <row r="84" spans="1:28" ht="16">
      <c r="A84" s="190">
        <f t="shared" si="7"/>
        <v>78</v>
      </c>
      <c r="B84" s="191" t="s">
        <v>196</v>
      </c>
      <c r="C84" s="191" t="s">
        <v>2089</v>
      </c>
      <c r="D84" s="192">
        <v>46184</v>
      </c>
      <c r="E84" s="199" t="str">
        <f>VLOOKUP($C84,xe!$A:$B,2,0)</f>
        <v>50E-654.34</v>
      </c>
      <c r="F84" s="194" t="str">
        <f>VLOOKUP($B84,ma!$A:$B,2,0)</f>
        <v>NAIC -UNI</v>
      </c>
      <c r="G84" s="195"/>
      <c r="H84" s="195"/>
      <c r="I84" s="196"/>
      <c r="J84" s="195"/>
      <c r="K84" s="196"/>
      <c r="L84" s="195"/>
      <c r="M84" s="197">
        <v>1</v>
      </c>
      <c r="N84" s="198">
        <f>VLOOKUP($B84,ma!$A:$C,3,0)</f>
        <v>1800000</v>
      </c>
      <c r="O84" s="198">
        <f t="shared" si="0"/>
        <v>1800000</v>
      </c>
      <c r="P84" s="198">
        <f t="shared" si="8"/>
        <v>180000</v>
      </c>
      <c r="Q84" s="177"/>
      <c r="R84" s="177"/>
      <c r="S84" s="177"/>
      <c r="T84" s="177"/>
      <c r="U84" s="177"/>
      <c r="V84" s="22"/>
      <c r="W84" s="22"/>
      <c r="X84" s="22"/>
      <c r="Y84" s="22"/>
      <c r="Z84" s="22"/>
      <c r="AA84" s="22"/>
      <c r="AB84" s="22"/>
    </row>
    <row r="85" spans="1:28" ht="16">
      <c r="A85" s="190">
        <f t="shared" si="7"/>
        <v>79</v>
      </c>
      <c r="B85" s="191" t="s">
        <v>136</v>
      </c>
      <c r="C85" s="191" t="s">
        <v>2097</v>
      </c>
      <c r="D85" s="192">
        <v>46184</v>
      </c>
      <c r="E85" s="199" t="str">
        <f>VLOOKUP($C85,xe!$A:$B,2,0)</f>
        <v>50E-324,01</v>
      </c>
      <c r="F85" s="194" t="str">
        <f>VLOOKUP($B85,ma!$A:$B,2,0)</f>
        <v>TUẤN LỘC Q7 PALLET</v>
      </c>
      <c r="G85" s="195"/>
      <c r="H85" s="195"/>
      <c r="I85" s="196"/>
      <c r="J85" s="195"/>
      <c r="K85" s="196"/>
      <c r="L85" s="195"/>
      <c r="M85" s="197">
        <v>11.15</v>
      </c>
      <c r="N85" s="198">
        <f>VLOOKUP($B85,ma!$A:$C,3,0)</f>
        <v>200000</v>
      </c>
      <c r="O85" s="198">
        <f t="shared" si="0"/>
        <v>2230000</v>
      </c>
      <c r="P85" s="198">
        <f t="shared" si="8"/>
        <v>223000</v>
      </c>
      <c r="Q85" s="177"/>
      <c r="R85" s="177"/>
      <c r="S85" s="177"/>
      <c r="T85" s="177"/>
      <c r="U85" s="177"/>
      <c r="V85" s="22"/>
      <c r="W85" s="22"/>
      <c r="X85" s="22"/>
      <c r="Y85" s="22"/>
      <c r="Z85" s="22"/>
      <c r="AA85" s="22"/>
      <c r="AB85" s="22"/>
    </row>
    <row r="86" spans="1:28" ht="16">
      <c r="A86" s="190">
        <f t="shared" si="7"/>
        <v>80</v>
      </c>
      <c r="B86" s="191" t="s">
        <v>107</v>
      </c>
      <c r="C86" s="191" t="s">
        <v>2097</v>
      </c>
      <c r="D86" s="192">
        <v>46184</v>
      </c>
      <c r="E86" s="199" t="str">
        <f>VLOOKUP($C86,xe!$A:$B,2,0)</f>
        <v>50E-324,01</v>
      </c>
      <c r="F86" s="194" t="str">
        <f>VLOOKUP($B86,ma!$A:$B,2,0)</f>
        <v>QUẬN 8 PALLET</v>
      </c>
      <c r="G86" s="195"/>
      <c r="H86" s="195"/>
      <c r="I86" s="196"/>
      <c r="J86" s="195"/>
      <c r="K86" s="196"/>
      <c r="L86" s="195"/>
      <c r="M86" s="197">
        <v>15.3</v>
      </c>
      <c r="N86" s="198">
        <f>VLOOKUP($B86,ma!$A:$C,3,0)</f>
        <v>200000</v>
      </c>
      <c r="O86" s="198">
        <f t="shared" si="0"/>
        <v>3060000</v>
      </c>
      <c r="P86" s="198">
        <f t="shared" si="8"/>
        <v>306000</v>
      </c>
      <c r="Q86" s="177"/>
      <c r="R86" s="177"/>
      <c r="S86" s="177"/>
      <c r="T86" s="177"/>
      <c r="U86" s="177"/>
      <c r="V86" s="22"/>
      <c r="W86" s="22"/>
      <c r="X86" s="22"/>
      <c r="Y86" s="22"/>
      <c r="Z86" s="22"/>
      <c r="AA86" s="22"/>
      <c r="AB86" s="22"/>
    </row>
    <row r="87" spans="1:28" ht="16">
      <c r="A87" s="190">
        <f t="shared" si="7"/>
        <v>81</v>
      </c>
      <c r="B87" s="191" t="s">
        <v>240</v>
      </c>
      <c r="C87" s="191" t="s">
        <v>38</v>
      </c>
      <c r="D87" s="192">
        <v>46184</v>
      </c>
      <c r="E87" s="199" t="str">
        <f>VLOOKUP($C87,xe!$A:$B,2,0)</f>
        <v>50H-87055</v>
      </c>
      <c r="F87" s="194" t="str">
        <f>VLOOKUP($B87,ma!$A:$B,2,0)</f>
        <v>JOLIBEE XE LỚN</v>
      </c>
      <c r="G87" s="195"/>
      <c r="H87" s="195"/>
      <c r="I87" s="196"/>
      <c r="J87" s="195"/>
      <c r="K87" s="196"/>
      <c r="L87" s="195"/>
      <c r="M87" s="197">
        <v>12.49</v>
      </c>
      <c r="N87" s="198">
        <f>VLOOKUP($B87,ma!$A:$C,3,0)</f>
        <v>200000</v>
      </c>
      <c r="O87" s="198">
        <f t="shared" si="0"/>
        <v>2498000</v>
      </c>
      <c r="P87" s="198">
        <f t="shared" si="8"/>
        <v>249800</v>
      </c>
      <c r="Q87" s="177"/>
      <c r="R87" s="177"/>
      <c r="S87" s="177"/>
      <c r="T87" s="177"/>
      <c r="U87" s="177"/>
      <c r="V87" s="22"/>
      <c r="W87" s="22"/>
      <c r="X87" s="22"/>
      <c r="Y87" s="22"/>
      <c r="Z87" s="22"/>
      <c r="AA87" s="22"/>
      <c r="AB87" s="22"/>
    </row>
    <row r="88" spans="1:28" ht="16">
      <c r="A88" s="190">
        <f t="shared" si="7"/>
        <v>82</v>
      </c>
      <c r="B88" s="191" t="s">
        <v>103</v>
      </c>
      <c r="C88" s="191" t="s">
        <v>38</v>
      </c>
      <c r="D88" s="192">
        <v>46184</v>
      </c>
      <c r="E88" s="199" t="str">
        <f>VLOOKUP($C88,xe!$A:$B,2,0)</f>
        <v>50H-87055</v>
      </c>
      <c r="F88" s="194" t="str">
        <f>VLOOKUP($B88,ma!$A:$B,2,0)</f>
        <v>PHẠM ANH QUẬN 6 PALLET</v>
      </c>
      <c r="G88" s="195"/>
      <c r="H88" s="195"/>
      <c r="I88" s="196"/>
      <c r="J88" s="195"/>
      <c r="K88" s="196"/>
      <c r="L88" s="195"/>
      <c r="M88" s="197">
        <v>13.58</v>
      </c>
      <c r="N88" s="198">
        <f>VLOOKUP($B88,ma!$A:$C,3,0)</f>
        <v>200000</v>
      </c>
      <c r="O88" s="198">
        <f t="shared" si="0"/>
        <v>2716000</v>
      </c>
      <c r="P88" s="198">
        <f t="shared" si="8"/>
        <v>271600</v>
      </c>
      <c r="Q88" s="209"/>
      <c r="R88" s="209"/>
      <c r="S88" s="209"/>
      <c r="T88" s="209"/>
      <c r="U88" s="209"/>
      <c r="V88" s="210"/>
      <c r="W88" s="210"/>
      <c r="X88" s="210"/>
      <c r="Y88" s="210"/>
      <c r="Z88" s="210"/>
      <c r="AA88" s="210"/>
      <c r="AB88" s="210"/>
    </row>
    <row r="89" spans="1:28" ht="16">
      <c r="A89" s="190">
        <f t="shared" si="7"/>
        <v>83</v>
      </c>
      <c r="B89" s="191" t="s">
        <v>240</v>
      </c>
      <c r="C89" s="191" t="s">
        <v>42</v>
      </c>
      <c r="D89" s="192">
        <v>46184</v>
      </c>
      <c r="E89" s="199" t="str">
        <f>VLOOKUP($C89,xe!$A:$B,2,0)</f>
        <v>50H-75206</v>
      </c>
      <c r="F89" s="194" t="str">
        <f>VLOOKUP($B89,ma!$A:$B,2,0)</f>
        <v>JOLIBEE XE LỚN</v>
      </c>
      <c r="G89" s="195"/>
      <c r="H89" s="195"/>
      <c r="I89" s="196"/>
      <c r="J89" s="195"/>
      <c r="K89" s="196"/>
      <c r="L89" s="195"/>
      <c r="M89" s="197">
        <v>12.5</v>
      </c>
      <c r="N89" s="198">
        <f>VLOOKUP($B89,ma!$A:$C,3,0)</f>
        <v>200000</v>
      </c>
      <c r="O89" s="198">
        <f t="shared" si="0"/>
        <v>2500000</v>
      </c>
      <c r="P89" s="198">
        <f t="shared" si="8"/>
        <v>250000</v>
      </c>
      <c r="Q89" s="177"/>
      <c r="R89" s="177"/>
      <c r="S89" s="177"/>
      <c r="T89" s="177"/>
      <c r="U89" s="177"/>
      <c r="V89" s="22"/>
      <c r="W89" s="22"/>
      <c r="X89" s="22"/>
      <c r="Y89" s="22"/>
      <c r="Z89" s="22"/>
      <c r="AA89" s="22"/>
      <c r="AB89" s="22"/>
    </row>
    <row r="90" spans="1:28" ht="16">
      <c r="A90" s="190">
        <f t="shared" si="7"/>
        <v>84</v>
      </c>
      <c r="B90" s="191" t="s">
        <v>196</v>
      </c>
      <c r="C90" s="191" t="s">
        <v>42</v>
      </c>
      <c r="D90" s="192">
        <v>46184</v>
      </c>
      <c r="E90" s="199" t="str">
        <f>VLOOKUP($C90,xe!$A:$B,2,0)</f>
        <v>50H-75206</v>
      </c>
      <c r="F90" s="194" t="str">
        <f>VLOOKUP($B90,ma!$A:$B,2,0)</f>
        <v>NAIC -UNI</v>
      </c>
      <c r="G90" s="195"/>
      <c r="H90" s="195"/>
      <c r="I90" s="196"/>
      <c r="J90" s="195"/>
      <c r="K90" s="196"/>
      <c r="L90" s="195"/>
      <c r="M90" s="197">
        <v>1</v>
      </c>
      <c r="N90" s="198">
        <f>VLOOKUP($B90,ma!$A:$C,3,0)</f>
        <v>1800000</v>
      </c>
      <c r="O90" s="198">
        <f t="shared" si="0"/>
        <v>1800000</v>
      </c>
      <c r="P90" s="198">
        <f t="shared" si="8"/>
        <v>180000</v>
      </c>
      <c r="Q90" s="177"/>
      <c r="R90" s="177"/>
      <c r="S90" s="177"/>
      <c r="T90" s="177"/>
      <c r="U90" s="177"/>
      <c r="V90" s="22"/>
      <c r="W90" s="22"/>
      <c r="X90" s="22"/>
      <c r="Y90" s="22"/>
      <c r="Z90" s="22"/>
      <c r="AA90" s="22"/>
      <c r="AB90" s="22"/>
    </row>
    <row r="91" spans="1:28" ht="16">
      <c r="A91" s="190">
        <f t="shared" si="7"/>
        <v>85</v>
      </c>
      <c r="B91" s="191" t="s">
        <v>136</v>
      </c>
      <c r="C91" s="191" t="s">
        <v>44</v>
      </c>
      <c r="D91" s="192">
        <v>46184</v>
      </c>
      <c r="E91" s="199" t="str">
        <f>VLOOKUP($C91,xe!$A:$B,2,0)</f>
        <v>50H-66347</v>
      </c>
      <c r="F91" s="194" t="str">
        <f>VLOOKUP($B91,ma!$A:$B,2,0)</f>
        <v>TUẤN LỘC Q7 PALLET</v>
      </c>
      <c r="G91" s="195"/>
      <c r="H91" s="195"/>
      <c r="I91" s="196"/>
      <c r="J91" s="195"/>
      <c r="K91" s="196"/>
      <c r="L91" s="195"/>
      <c r="M91" s="197"/>
      <c r="N91" s="198">
        <f>VLOOKUP($B91,ma!$A:$C,3,0)</f>
        <v>200000</v>
      </c>
      <c r="O91" s="198">
        <f t="shared" si="0"/>
        <v>0</v>
      </c>
      <c r="P91" s="198">
        <f t="shared" si="8"/>
        <v>0</v>
      </c>
      <c r="Q91" s="177"/>
      <c r="R91" s="177"/>
      <c r="S91" s="177"/>
      <c r="T91" s="177"/>
      <c r="U91" s="177"/>
      <c r="V91" s="22"/>
      <c r="W91" s="22"/>
      <c r="X91" s="22"/>
      <c r="Y91" s="22"/>
      <c r="Z91" s="22"/>
      <c r="AA91" s="22"/>
      <c r="AB91" s="22"/>
    </row>
    <row r="92" spans="1:28" ht="16">
      <c r="A92" s="200">
        <f t="shared" si="7"/>
        <v>86</v>
      </c>
      <c r="B92" s="201" t="s">
        <v>2094</v>
      </c>
      <c r="C92" s="201" t="s">
        <v>32</v>
      </c>
      <c r="D92" s="202">
        <v>46185</v>
      </c>
      <c r="E92" s="203" t="str">
        <f>VLOOKUP($C92,xe!$A:$B,2,0)</f>
        <v>50E-648.73</v>
      </c>
      <c r="F92" s="204" t="str">
        <f>VLOOKUP($B92,ma!$A:$B,2,0)</f>
        <v>NDFC - NAIC BẾN LỨC</v>
      </c>
      <c r="G92" s="205"/>
      <c r="H92" s="205"/>
      <c r="I92" s="206"/>
      <c r="J92" s="205"/>
      <c r="K92" s="206"/>
      <c r="L92" s="205"/>
      <c r="M92" s="207">
        <v>1</v>
      </c>
      <c r="N92" s="208">
        <f>VLOOKUP($B92,ma!$A:$C,3,0)</f>
        <v>2400000</v>
      </c>
      <c r="O92" s="208">
        <f t="shared" si="0"/>
        <v>2400000</v>
      </c>
      <c r="P92" s="208">
        <f t="shared" si="8"/>
        <v>240000</v>
      </c>
      <c r="Q92" s="209"/>
      <c r="R92" s="209"/>
      <c r="S92" s="209"/>
      <c r="T92" s="209"/>
      <c r="U92" s="209"/>
      <c r="V92" s="210"/>
      <c r="W92" s="210"/>
      <c r="X92" s="210"/>
      <c r="Y92" s="210"/>
      <c r="Z92" s="210"/>
      <c r="AA92" s="210"/>
      <c r="AB92" s="210"/>
    </row>
    <row r="93" spans="1:28" ht="16">
      <c r="A93" s="190">
        <f t="shared" si="7"/>
        <v>87</v>
      </c>
      <c r="B93" s="191" t="s">
        <v>2095</v>
      </c>
      <c r="C93" s="191" t="s">
        <v>2100</v>
      </c>
      <c r="D93" s="192">
        <v>46185</v>
      </c>
      <c r="E93" s="193" t="str">
        <f>VLOOKUP($C93,xe!$A:$B,2,0)</f>
        <v>50E-648.73</v>
      </c>
      <c r="F93" s="194" t="str">
        <f>VLOOKUP($B93,ma!$A:$B,2,0)</f>
        <v>NAIC -UNI</v>
      </c>
      <c r="G93" s="195"/>
      <c r="H93" s="195"/>
      <c r="I93" s="196"/>
      <c r="J93" s="195"/>
      <c r="K93" s="196"/>
      <c r="L93" s="195"/>
      <c r="M93" s="197">
        <v>1</v>
      </c>
      <c r="N93" s="198">
        <f>VLOOKUP($B93,ma!$A:$C,3,0)</f>
        <v>1800000</v>
      </c>
      <c r="O93" s="198">
        <f t="shared" si="0"/>
        <v>1800000</v>
      </c>
      <c r="P93" s="198">
        <f t="shared" si="8"/>
        <v>180000</v>
      </c>
      <c r="Q93" s="177"/>
      <c r="R93" s="177"/>
      <c r="S93" s="177"/>
      <c r="T93" s="177"/>
      <c r="U93" s="177"/>
      <c r="V93" s="22"/>
      <c r="W93" s="22"/>
      <c r="X93" s="22"/>
      <c r="Y93" s="22"/>
      <c r="Z93" s="22"/>
      <c r="AA93" s="22"/>
      <c r="AB93" s="22"/>
    </row>
    <row r="94" spans="1:28" ht="16">
      <c r="A94" s="190">
        <f t="shared" si="7"/>
        <v>88</v>
      </c>
      <c r="B94" s="191" t="s">
        <v>2098</v>
      </c>
      <c r="C94" s="191" t="s">
        <v>2089</v>
      </c>
      <c r="D94" s="192">
        <v>46185</v>
      </c>
      <c r="E94" s="199" t="str">
        <f>VLOOKUP($C94,xe!$A:$B,2,0)</f>
        <v>50E-654.34</v>
      </c>
      <c r="F94" s="194" t="str">
        <f>VLOOKUP($B94,ma!$A:$B,2,0)</f>
        <v>QUẬN 8 PALLET</v>
      </c>
      <c r="G94" s="195"/>
      <c r="H94" s="195"/>
      <c r="I94" s="196"/>
      <c r="J94" s="195"/>
      <c r="K94" s="196"/>
      <c r="L94" s="195"/>
      <c r="M94" s="197">
        <v>12.78</v>
      </c>
      <c r="N94" s="198">
        <f>VLOOKUP($B94,ma!$A:$C,3,0)</f>
        <v>200000</v>
      </c>
      <c r="O94" s="198">
        <f t="shared" si="0"/>
        <v>2556000</v>
      </c>
      <c r="P94" s="198">
        <f t="shared" si="8"/>
        <v>255600</v>
      </c>
      <c r="Q94" s="177"/>
      <c r="R94" s="177"/>
      <c r="S94" s="177"/>
      <c r="T94" s="177"/>
      <c r="U94" s="177"/>
      <c r="V94" s="22"/>
      <c r="W94" s="22"/>
      <c r="X94" s="22"/>
      <c r="Y94" s="22"/>
      <c r="Z94" s="22"/>
      <c r="AA94" s="22"/>
      <c r="AB94" s="22"/>
    </row>
    <row r="95" spans="1:28" ht="16">
      <c r="A95" s="190">
        <f t="shared" si="7"/>
        <v>89</v>
      </c>
      <c r="B95" s="191" t="s">
        <v>2101</v>
      </c>
      <c r="C95" s="191" t="s">
        <v>2089</v>
      </c>
      <c r="D95" s="192">
        <v>46185</v>
      </c>
      <c r="E95" s="199" t="str">
        <f>VLOOKUP($C95,xe!$A:$B,2,0)</f>
        <v>50E-654.34</v>
      </c>
      <c r="F95" s="194" t="str">
        <f>VLOOKUP($B95,ma!$A:$B,2,0)</f>
        <v>ÚT GIAO LONG AN</v>
      </c>
      <c r="G95" s="195"/>
      <c r="H95" s="195"/>
      <c r="I95" s="196"/>
      <c r="J95" s="195"/>
      <c r="K95" s="196"/>
      <c r="L95" s="195"/>
      <c r="M95" s="197">
        <v>15.27</v>
      </c>
      <c r="N95" s="198">
        <f>VLOOKUP($B95,ma!$A:$C,3,0)</f>
        <v>212000</v>
      </c>
      <c r="O95" s="198">
        <f t="shared" si="0"/>
        <v>3237240</v>
      </c>
      <c r="P95" s="198">
        <f t="shared" si="8"/>
        <v>323724</v>
      </c>
      <c r="Q95" s="177"/>
      <c r="R95" s="177"/>
      <c r="S95" s="177"/>
      <c r="T95" s="177"/>
      <c r="U95" s="177"/>
      <c r="V95" s="22"/>
      <c r="W95" s="22"/>
      <c r="X95" s="22"/>
      <c r="Y95" s="22"/>
      <c r="Z95" s="22"/>
      <c r="AA95" s="22"/>
      <c r="AB95" s="22"/>
    </row>
    <row r="96" spans="1:28" ht="16">
      <c r="A96" s="190">
        <f t="shared" si="7"/>
        <v>90</v>
      </c>
      <c r="B96" s="191" t="s">
        <v>2096</v>
      </c>
      <c r="C96" s="191" t="s">
        <v>2097</v>
      </c>
      <c r="D96" s="192">
        <v>46185</v>
      </c>
      <c r="E96" s="199" t="str">
        <f>VLOOKUP($C96,xe!$A:$B,2,0)</f>
        <v>50E-324,01</v>
      </c>
      <c r="F96" s="194" t="str">
        <f>VLOOKUP($B96,ma!$A:$B,2,0)</f>
        <v>TUẤN LỘC Q7 PALLET</v>
      </c>
      <c r="G96" s="195"/>
      <c r="H96" s="195"/>
      <c r="I96" s="196"/>
      <c r="J96" s="195"/>
      <c r="K96" s="196"/>
      <c r="L96" s="195"/>
      <c r="M96" s="197">
        <v>12.77</v>
      </c>
      <c r="N96" s="198">
        <f>VLOOKUP($B96,ma!$A:$C,3,0)</f>
        <v>200000</v>
      </c>
      <c r="O96" s="198">
        <f t="shared" si="0"/>
        <v>2554000</v>
      </c>
      <c r="P96" s="198">
        <f t="shared" si="8"/>
        <v>255400</v>
      </c>
      <c r="Q96" s="177"/>
      <c r="R96" s="177"/>
      <c r="S96" s="177"/>
      <c r="T96" s="177"/>
      <c r="U96" s="177"/>
      <c r="V96" s="22"/>
      <c r="W96" s="22"/>
      <c r="X96" s="22"/>
      <c r="Y96" s="22"/>
      <c r="Z96" s="22"/>
      <c r="AA96" s="22"/>
      <c r="AB96" s="22"/>
    </row>
    <row r="97" spans="1:28" ht="16">
      <c r="A97" s="190">
        <f t="shared" si="7"/>
        <v>91</v>
      </c>
      <c r="B97" s="191" t="s">
        <v>2096</v>
      </c>
      <c r="C97" s="191" t="s">
        <v>2097</v>
      </c>
      <c r="D97" s="192">
        <v>46185</v>
      </c>
      <c r="E97" s="199" t="str">
        <f>VLOOKUP($C97,xe!$A:$B,2,0)</f>
        <v>50E-324,01</v>
      </c>
      <c r="F97" s="194" t="str">
        <f>VLOOKUP($B97,ma!$A:$B,2,0)</f>
        <v>TUẤN LỘC Q7 PALLET</v>
      </c>
      <c r="G97" s="195"/>
      <c r="H97" s="195"/>
      <c r="I97" s="196"/>
      <c r="J97" s="195"/>
      <c r="K97" s="196"/>
      <c r="L97" s="195"/>
      <c r="M97" s="197">
        <v>13.72</v>
      </c>
      <c r="N97" s="198">
        <f>VLOOKUP($B97,ma!$A:$C,3,0)</f>
        <v>200000</v>
      </c>
      <c r="O97" s="198">
        <f t="shared" si="0"/>
        <v>2744000</v>
      </c>
      <c r="P97" s="198">
        <f t="shared" si="8"/>
        <v>274400</v>
      </c>
      <c r="Q97" s="209"/>
      <c r="R97" s="209"/>
      <c r="S97" s="209"/>
      <c r="T97" s="209"/>
      <c r="U97" s="209"/>
      <c r="V97" s="210"/>
      <c r="W97" s="210"/>
      <c r="X97" s="210"/>
      <c r="Y97" s="210"/>
      <c r="Z97" s="210"/>
      <c r="AA97" s="210"/>
      <c r="AB97" s="210"/>
    </row>
    <row r="98" spans="1:28" ht="16">
      <c r="A98" s="190">
        <f t="shared" si="7"/>
        <v>92</v>
      </c>
      <c r="B98" s="191" t="s">
        <v>2094</v>
      </c>
      <c r="C98" s="191" t="s">
        <v>38</v>
      </c>
      <c r="D98" s="192">
        <v>46185</v>
      </c>
      <c r="E98" s="199" t="str">
        <f>VLOOKUP($C98,xe!$A:$B,2,0)</f>
        <v>50H-87055</v>
      </c>
      <c r="F98" s="194" t="str">
        <f>VLOOKUP($B98,ma!$A:$B,2,0)</f>
        <v>NDFC - NAIC BẾN LỨC</v>
      </c>
      <c r="G98" s="195"/>
      <c r="H98" s="195"/>
      <c r="I98" s="196"/>
      <c r="J98" s="195"/>
      <c r="K98" s="196"/>
      <c r="L98" s="195"/>
      <c r="M98" s="197">
        <v>1</v>
      </c>
      <c r="N98" s="198">
        <f>VLOOKUP($B98,ma!$A:$C,3,0)</f>
        <v>2400000</v>
      </c>
      <c r="O98" s="198">
        <f t="shared" si="0"/>
        <v>2400000</v>
      </c>
      <c r="P98" s="198">
        <f t="shared" si="8"/>
        <v>240000</v>
      </c>
      <c r="Q98" s="177"/>
      <c r="R98" s="177"/>
      <c r="S98" s="177"/>
      <c r="T98" s="177"/>
      <c r="U98" s="177"/>
      <c r="V98" s="22"/>
      <c r="W98" s="22"/>
      <c r="X98" s="22"/>
      <c r="Y98" s="22"/>
      <c r="Z98" s="22"/>
      <c r="AA98" s="22"/>
      <c r="AB98" s="22"/>
    </row>
    <row r="99" spans="1:28" ht="16">
      <c r="A99" s="190">
        <f t="shared" si="7"/>
        <v>93</v>
      </c>
      <c r="B99" s="191" t="s">
        <v>2094</v>
      </c>
      <c r="C99" s="191" t="s">
        <v>40</v>
      </c>
      <c r="D99" s="192">
        <v>46185</v>
      </c>
      <c r="E99" s="199" t="str">
        <f>VLOOKUP($C99,xe!$A:$B,2,0)</f>
        <v>50E-757,74</v>
      </c>
      <c r="F99" s="194" t="str">
        <f>VLOOKUP($B99,ma!$A:$B,2,0)</f>
        <v>NDFC - NAIC BẾN LỨC</v>
      </c>
      <c r="G99" s="195"/>
      <c r="H99" s="195"/>
      <c r="I99" s="196"/>
      <c r="J99" s="195"/>
      <c r="K99" s="196"/>
      <c r="L99" s="195"/>
      <c r="M99" s="197">
        <v>1</v>
      </c>
      <c r="N99" s="198">
        <f>VLOOKUP($B99,ma!$A:$C,3,0)</f>
        <v>2400000</v>
      </c>
      <c r="O99" s="198">
        <f t="shared" si="0"/>
        <v>2400000</v>
      </c>
      <c r="P99" s="198">
        <f t="shared" si="8"/>
        <v>240000</v>
      </c>
      <c r="Q99" s="177"/>
      <c r="R99" s="177"/>
      <c r="S99" s="177"/>
      <c r="T99" s="177"/>
      <c r="U99" s="177"/>
      <c r="V99" s="22"/>
      <c r="W99" s="22"/>
      <c r="X99" s="22"/>
      <c r="Y99" s="22"/>
      <c r="Z99" s="22"/>
      <c r="AA99" s="22"/>
      <c r="AB99" s="22"/>
    </row>
    <row r="100" spans="1:28" ht="16">
      <c r="A100" s="190">
        <f t="shared" si="7"/>
        <v>94</v>
      </c>
      <c r="B100" s="191" t="s">
        <v>2095</v>
      </c>
      <c r="C100" s="191" t="s">
        <v>40</v>
      </c>
      <c r="D100" s="192">
        <v>46185</v>
      </c>
      <c r="E100" s="199" t="str">
        <f>VLOOKUP($C100,xe!$A:$B,2,0)</f>
        <v>50E-757,74</v>
      </c>
      <c r="F100" s="194" t="str">
        <f>VLOOKUP($B100,ma!$A:$B,2,0)</f>
        <v>NAIC -UNI</v>
      </c>
      <c r="G100" s="195"/>
      <c r="H100" s="195"/>
      <c r="I100" s="196"/>
      <c r="J100" s="195"/>
      <c r="K100" s="196"/>
      <c r="L100" s="195"/>
      <c r="M100" s="197">
        <v>1</v>
      </c>
      <c r="N100" s="198">
        <f>VLOOKUP($B100,ma!$A:$C,3,0)</f>
        <v>1800000</v>
      </c>
      <c r="O100" s="198">
        <f t="shared" si="0"/>
        <v>1800000</v>
      </c>
      <c r="P100" s="198">
        <f t="shared" si="8"/>
        <v>180000</v>
      </c>
      <c r="Q100" s="177"/>
      <c r="R100" s="177"/>
      <c r="S100" s="177"/>
      <c r="T100" s="177"/>
      <c r="U100" s="177"/>
      <c r="V100" s="22"/>
      <c r="W100" s="22"/>
      <c r="X100" s="22"/>
      <c r="Y100" s="22"/>
      <c r="Z100" s="22"/>
      <c r="AA100" s="22"/>
      <c r="AB100" s="22"/>
    </row>
    <row r="101" spans="1:28" ht="16">
      <c r="A101" s="190">
        <f t="shared" si="7"/>
        <v>95</v>
      </c>
      <c r="B101" s="191" t="s">
        <v>2093</v>
      </c>
      <c r="C101" s="191" t="s">
        <v>42</v>
      </c>
      <c r="D101" s="192">
        <v>46185</v>
      </c>
      <c r="E101" s="199" t="str">
        <f>VLOOKUP($C101,xe!$A:$B,2,0)</f>
        <v>50H-75206</v>
      </c>
      <c r="F101" s="194" t="str">
        <f>VLOOKUP($B101,ma!$A:$B,2,0)</f>
        <v>PHẠM ANH QUẬN 6 PALLET</v>
      </c>
      <c r="G101" s="195"/>
      <c r="H101" s="195"/>
      <c r="I101" s="196"/>
      <c r="J101" s="195"/>
      <c r="K101" s="196"/>
      <c r="L101" s="195"/>
      <c r="M101" s="197">
        <v>11.69</v>
      </c>
      <c r="N101" s="198">
        <f>VLOOKUP($B101,ma!$A:$C,3,0)</f>
        <v>200000</v>
      </c>
      <c r="O101" s="198">
        <f t="shared" si="0"/>
        <v>2338000</v>
      </c>
      <c r="P101" s="198">
        <f t="shared" si="8"/>
        <v>233800</v>
      </c>
      <c r="Q101" s="177"/>
      <c r="R101" s="177"/>
      <c r="S101" s="177"/>
      <c r="T101" s="177"/>
      <c r="U101" s="177"/>
      <c r="V101" s="22"/>
      <c r="W101" s="22"/>
      <c r="X101" s="22"/>
      <c r="Y101" s="22"/>
      <c r="Z101" s="22"/>
      <c r="AA101" s="22"/>
      <c r="AB101" s="22"/>
    </row>
    <row r="102" spans="1:28" ht="16">
      <c r="A102" s="190">
        <f t="shared" si="7"/>
        <v>96</v>
      </c>
      <c r="B102" s="191" t="s">
        <v>2094</v>
      </c>
      <c r="C102" s="191" t="s">
        <v>44</v>
      </c>
      <c r="D102" s="192">
        <v>46185</v>
      </c>
      <c r="E102" s="199" t="str">
        <f>VLOOKUP($C102,xe!$A:$B,2,0)</f>
        <v>50H-66347</v>
      </c>
      <c r="F102" s="194" t="str">
        <f>VLOOKUP($B102,ma!$A:$B,2,0)</f>
        <v>NDFC - NAIC BẾN LỨC</v>
      </c>
      <c r="G102" s="195"/>
      <c r="H102" s="195"/>
      <c r="I102" s="196"/>
      <c r="J102" s="195"/>
      <c r="K102" s="196"/>
      <c r="L102" s="195"/>
      <c r="M102" s="197">
        <v>1</v>
      </c>
      <c r="N102" s="198">
        <f>VLOOKUP($B102,ma!$A:$C,3,0)</f>
        <v>2400000</v>
      </c>
      <c r="O102" s="198">
        <f t="shared" si="0"/>
        <v>2400000</v>
      </c>
      <c r="P102" s="198">
        <f t="shared" si="8"/>
        <v>240000</v>
      </c>
      <c r="Q102" s="177"/>
      <c r="R102" s="177"/>
      <c r="S102" s="177"/>
      <c r="T102" s="177"/>
      <c r="U102" s="177"/>
      <c r="V102" s="22"/>
      <c r="W102" s="22"/>
      <c r="X102" s="22"/>
      <c r="Y102" s="22"/>
      <c r="Z102" s="22"/>
      <c r="AA102" s="22"/>
      <c r="AB102" s="22"/>
    </row>
    <row r="103" spans="1:28" ht="16">
      <c r="A103" s="190">
        <f t="shared" si="7"/>
        <v>97</v>
      </c>
      <c r="B103" s="191" t="s">
        <v>2095</v>
      </c>
      <c r="C103" s="191" t="s">
        <v>44</v>
      </c>
      <c r="D103" s="192">
        <v>46185</v>
      </c>
      <c r="E103" s="199" t="str">
        <f>VLOOKUP($C103,xe!$A:$B,2,0)</f>
        <v>50H-66347</v>
      </c>
      <c r="F103" s="194" t="str">
        <f>VLOOKUP($B103,ma!$A:$B,2,0)</f>
        <v>NAIC -UNI</v>
      </c>
      <c r="G103" s="195"/>
      <c r="H103" s="195"/>
      <c r="I103" s="196"/>
      <c r="J103" s="195"/>
      <c r="K103" s="196"/>
      <c r="L103" s="195"/>
      <c r="M103" s="197">
        <v>1</v>
      </c>
      <c r="N103" s="198">
        <f>VLOOKUP($B103,ma!$A:$C,3,0)</f>
        <v>1800000</v>
      </c>
      <c r="O103" s="198">
        <f t="shared" si="0"/>
        <v>1800000</v>
      </c>
      <c r="P103" s="198">
        <f t="shared" si="8"/>
        <v>180000</v>
      </c>
      <c r="Q103" s="177"/>
      <c r="R103" s="177"/>
      <c r="S103" s="177"/>
      <c r="T103" s="177"/>
      <c r="U103" s="177"/>
      <c r="V103" s="22"/>
      <c r="W103" s="22"/>
      <c r="X103" s="22"/>
      <c r="Y103" s="22"/>
      <c r="Z103" s="22"/>
      <c r="AA103" s="22"/>
      <c r="AB103" s="22"/>
    </row>
    <row r="104" spans="1:28" ht="16">
      <c r="A104" s="200">
        <f t="shared" si="7"/>
        <v>98</v>
      </c>
      <c r="B104" s="201" t="s">
        <v>2095</v>
      </c>
      <c r="C104" s="201" t="s">
        <v>2089</v>
      </c>
      <c r="D104" s="202">
        <v>46186</v>
      </c>
      <c r="E104" s="215" t="str">
        <f>VLOOKUP($C104,xe!$A:$B,2,0)</f>
        <v>50E-654.34</v>
      </c>
      <c r="F104" s="204" t="str">
        <f>VLOOKUP($B104,ma!$A:$B,2,0)</f>
        <v>NAIC -UNI</v>
      </c>
      <c r="G104" s="205"/>
      <c r="H104" s="205"/>
      <c r="I104" s="206"/>
      <c r="J104" s="205"/>
      <c r="K104" s="206"/>
      <c r="L104" s="205"/>
      <c r="M104" s="207">
        <v>1</v>
      </c>
      <c r="N104" s="208">
        <f>VLOOKUP($B104,ma!$A:$C,3,0)</f>
        <v>1800000</v>
      </c>
      <c r="O104" s="208">
        <f t="shared" si="0"/>
        <v>1800000</v>
      </c>
      <c r="P104" s="208">
        <f t="shared" si="8"/>
        <v>180000</v>
      </c>
      <c r="Q104" s="209"/>
      <c r="R104" s="209"/>
      <c r="S104" s="209"/>
      <c r="T104" s="209"/>
      <c r="U104" s="209"/>
      <c r="V104" s="210"/>
      <c r="W104" s="210"/>
      <c r="X104" s="210"/>
      <c r="Y104" s="210"/>
      <c r="Z104" s="210"/>
      <c r="AA104" s="210"/>
      <c r="AB104" s="210"/>
    </row>
    <row r="105" spans="1:28" ht="16">
      <c r="A105" s="190">
        <f t="shared" si="7"/>
        <v>99</v>
      </c>
      <c r="B105" s="191" t="s">
        <v>91</v>
      </c>
      <c r="C105" s="191" t="s">
        <v>2097</v>
      </c>
      <c r="D105" s="192">
        <v>46186</v>
      </c>
      <c r="E105" s="199" t="str">
        <f>VLOOKUP($C105,xe!$A:$B,2,0)</f>
        <v>50E-324,01</v>
      </c>
      <c r="F105" s="194" t="str">
        <f>VLOOKUP($B105,ma!$A:$B,2,0)</f>
        <v>CALOFIC - UNI ( xe lớn )</v>
      </c>
      <c r="G105" s="195"/>
      <c r="H105" s="195"/>
      <c r="I105" s="196"/>
      <c r="J105" s="195"/>
      <c r="K105" s="196"/>
      <c r="L105" s="195"/>
      <c r="M105" s="197">
        <v>1</v>
      </c>
      <c r="N105" s="198">
        <f>VLOOKUP($B105,ma!$A:$C,3,0)</f>
        <v>400000</v>
      </c>
      <c r="O105" s="198">
        <f t="shared" si="0"/>
        <v>400000</v>
      </c>
      <c r="P105" s="198">
        <v>100000</v>
      </c>
      <c r="Q105" s="209"/>
      <c r="R105" s="209"/>
      <c r="S105" s="209"/>
      <c r="T105" s="209"/>
      <c r="U105" s="209"/>
      <c r="V105" s="210"/>
      <c r="W105" s="210"/>
      <c r="X105" s="210"/>
      <c r="Y105" s="210"/>
      <c r="Z105" s="210"/>
      <c r="AA105" s="210"/>
      <c r="AB105" s="210"/>
    </row>
    <row r="106" spans="1:28" ht="16">
      <c r="A106" s="190">
        <f t="shared" si="7"/>
        <v>100</v>
      </c>
      <c r="B106" s="191" t="s">
        <v>2095</v>
      </c>
      <c r="C106" s="191" t="s">
        <v>38</v>
      </c>
      <c r="D106" s="192">
        <v>46186</v>
      </c>
      <c r="E106" s="199" t="str">
        <f>VLOOKUP($C106,xe!$A:$B,2,0)</f>
        <v>50H-87055</v>
      </c>
      <c r="F106" s="194" t="str">
        <f>VLOOKUP($B106,ma!$A:$B,2,0)</f>
        <v>NAIC -UNI</v>
      </c>
      <c r="G106" s="195"/>
      <c r="H106" s="195"/>
      <c r="I106" s="196"/>
      <c r="J106" s="195"/>
      <c r="K106" s="196"/>
      <c r="L106" s="195"/>
      <c r="M106" s="197">
        <v>1</v>
      </c>
      <c r="N106" s="198">
        <f>VLOOKUP($B106,ma!$A:$C,3,0)</f>
        <v>1800000</v>
      </c>
      <c r="O106" s="198">
        <f t="shared" si="0"/>
        <v>1800000</v>
      </c>
      <c r="P106" s="198">
        <f t="shared" ref="P106:P107" si="9">O106*10%</f>
        <v>180000</v>
      </c>
      <c r="Q106" s="177"/>
      <c r="R106" s="177"/>
      <c r="S106" s="177"/>
      <c r="T106" s="177"/>
      <c r="U106" s="177"/>
      <c r="V106" s="22"/>
      <c r="W106" s="22"/>
      <c r="X106" s="22"/>
      <c r="Y106" s="22"/>
      <c r="Z106" s="22"/>
      <c r="AA106" s="22"/>
      <c r="AB106" s="22"/>
    </row>
    <row r="107" spans="1:28" ht="16">
      <c r="A107" s="190">
        <f t="shared" si="7"/>
        <v>101</v>
      </c>
      <c r="B107" s="191" t="s">
        <v>2095</v>
      </c>
      <c r="C107" s="191" t="s">
        <v>42</v>
      </c>
      <c r="D107" s="192">
        <v>46186</v>
      </c>
      <c r="E107" s="199" t="str">
        <f>VLOOKUP($C107,xe!$A:$B,2,0)</f>
        <v>50H-75206</v>
      </c>
      <c r="F107" s="194" t="str">
        <f>VLOOKUP($B107,ma!$A:$B,2,0)</f>
        <v>NAIC -UNI</v>
      </c>
      <c r="G107" s="195"/>
      <c r="H107" s="195"/>
      <c r="I107" s="196"/>
      <c r="J107" s="195"/>
      <c r="K107" s="196"/>
      <c r="L107" s="195"/>
      <c r="M107" s="197">
        <v>1</v>
      </c>
      <c r="N107" s="198">
        <f>VLOOKUP($B107,ma!$A:$C,3,0)</f>
        <v>1800000</v>
      </c>
      <c r="O107" s="198">
        <f t="shared" si="0"/>
        <v>1800000</v>
      </c>
      <c r="P107" s="198">
        <f t="shared" si="9"/>
        <v>180000</v>
      </c>
      <c r="Q107" s="177"/>
      <c r="R107" s="177"/>
      <c r="S107" s="177"/>
      <c r="T107" s="177"/>
      <c r="U107" s="177"/>
      <c r="V107" s="22"/>
      <c r="W107" s="22"/>
      <c r="X107" s="22"/>
      <c r="Y107" s="22"/>
      <c r="Z107" s="22"/>
      <c r="AA107" s="22"/>
      <c r="AB107" s="22"/>
    </row>
    <row r="108" spans="1:28" ht="16">
      <c r="A108" s="190">
        <f t="shared" si="7"/>
        <v>102</v>
      </c>
      <c r="B108" s="191" t="s">
        <v>91</v>
      </c>
      <c r="C108" s="191" t="s">
        <v>44</v>
      </c>
      <c r="D108" s="192">
        <v>46186</v>
      </c>
      <c r="E108" s="199" t="str">
        <f>VLOOKUP($C108,xe!$A:$B,2,0)</f>
        <v>50H-66347</v>
      </c>
      <c r="F108" s="194" t="str">
        <f>VLOOKUP($B108,ma!$A:$B,2,0)</f>
        <v>CALOFIC - UNI ( xe lớn )</v>
      </c>
      <c r="G108" s="195"/>
      <c r="H108" s="195"/>
      <c r="I108" s="196"/>
      <c r="J108" s="195"/>
      <c r="K108" s="196"/>
      <c r="L108" s="195"/>
      <c r="M108" s="197">
        <v>1</v>
      </c>
      <c r="N108" s="198">
        <f>VLOOKUP($B108,ma!$A:$C,3,0)</f>
        <v>400000</v>
      </c>
      <c r="O108" s="198">
        <f t="shared" si="0"/>
        <v>400000</v>
      </c>
      <c r="P108" s="198">
        <v>100000</v>
      </c>
      <c r="Q108" s="177"/>
      <c r="R108" s="177"/>
      <c r="S108" s="177"/>
      <c r="T108" s="177"/>
      <c r="U108" s="177"/>
      <c r="V108" s="22"/>
      <c r="W108" s="22"/>
      <c r="X108" s="22"/>
      <c r="Y108" s="22"/>
      <c r="Z108" s="22"/>
      <c r="AA108" s="22"/>
      <c r="AB108" s="22"/>
    </row>
    <row r="109" spans="1:28" ht="16">
      <c r="A109" s="200">
        <f t="shared" si="7"/>
        <v>103</v>
      </c>
      <c r="B109" s="201" t="s">
        <v>2094</v>
      </c>
      <c r="C109" s="201" t="s">
        <v>2100</v>
      </c>
      <c r="D109" s="202">
        <v>46188</v>
      </c>
      <c r="E109" s="203" t="str">
        <f>VLOOKUP($C109,xe!$A:$B,2,0)</f>
        <v>50E-648.73</v>
      </c>
      <c r="F109" s="204" t="str">
        <f>VLOOKUP($B109,ma!$A:$B,2,0)</f>
        <v>NDFC - NAIC BẾN LỨC</v>
      </c>
      <c r="G109" s="205"/>
      <c r="H109" s="205"/>
      <c r="I109" s="206"/>
      <c r="J109" s="205"/>
      <c r="K109" s="206"/>
      <c r="L109" s="205"/>
      <c r="M109" s="207">
        <v>1</v>
      </c>
      <c r="N109" s="208">
        <f>VLOOKUP($B109,ma!$A:$C,3,0)</f>
        <v>2400000</v>
      </c>
      <c r="O109" s="208">
        <f t="shared" si="0"/>
        <v>2400000</v>
      </c>
      <c r="P109" s="208">
        <f t="shared" ref="P109:P157" si="10">O109*10%</f>
        <v>240000</v>
      </c>
      <c r="Q109" s="209"/>
      <c r="R109" s="209"/>
      <c r="S109" s="209"/>
      <c r="T109" s="209"/>
      <c r="U109" s="209"/>
      <c r="V109" s="210"/>
      <c r="W109" s="210"/>
      <c r="X109" s="210"/>
      <c r="Y109" s="210"/>
      <c r="Z109" s="210"/>
      <c r="AA109" s="210"/>
      <c r="AB109" s="210"/>
    </row>
    <row r="110" spans="1:28" ht="16">
      <c r="A110" s="190">
        <f t="shared" si="7"/>
        <v>104</v>
      </c>
      <c r="B110" s="191" t="s">
        <v>2094</v>
      </c>
      <c r="C110" s="191" t="s">
        <v>2100</v>
      </c>
      <c r="D110" s="192">
        <v>46188</v>
      </c>
      <c r="E110" s="193" t="str">
        <f>VLOOKUP($C110,xe!$A:$B,2,0)</f>
        <v>50E-648.73</v>
      </c>
      <c r="F110" s="194" t="str">
        <f>VLOOKUP($B110,ma!$A:$B,2,0)</f>
        <v>NDFC - NAIC BẾN LỨC</v>
      </c>
      <c r="G110" s="195"/>
      <c r="H110" s="195"/>
      <c r="I110" s="196"/>
      <c r="J110" s="195"/>
      <c r="K110" s="196"/>
      <c r="L110" s="195"/>
      <c r="M110" s="197">
        <v>1</v>
      </c>
      <c r="N110" s="198">
        <f>VLOOKUP($B110,ma!$A:$C,3,0)</f>
        <v>2400000</v>
      </c>
      <c r="O110" s="198">
        <f t="shared" si="0"/>
        <v>2400000</v>
      </c>
      <c r="P110" s="198">
        <f t="shared" si="10"/>
        <v>240000</v>
      </c>
      <c r="Q110" s="177"/>
      <c r="R110" s="177"/>
      <c r="S110" s="177"/>
      <c r="T110" s="177"/>
      <c r="U110" s="177"/>
      <c r="V110" s="22"/>
      <c r="W110" s="22"/>
      <c r="X110" s="22"/>
      <c r="Y110" s="22"/>
      <c r="Z110" s="22"/>
      <c r="AA110" s="22"/>
      <c r="AB110" s="22"/>
    </row>
    <row r="111" spans="1:28" ht="16">
      <c r="A111" s="190">
        <f t="shared" si="7"/>
        <v>105</v>
      </c>
      <c r="B111" s="191" t="s">
        <v>2095</v>
      </c>
      <c r="C111" s="191" t="s">
        <v>2100</v>
      </c>
      <c r="D111" s="192">
        <v>46188</v>
      </c>
      <c r="E111" s="193" t="str">
        <f>VLOOKUP($C111,xe!$A:$B,2,0)</f>
        <v>50E-648.73</v>
      </c>
      <c r="F111" s="194" t="str">
        <f>VLOOKUP($B111,ma!$A:$B,2,0)</f>
        <v>NAIC -UNI</v>
      </c>
      <c r="G111" s="195"/>
      <c r="H111" s="195"/>
      <c r="I111" s="196"/>
      <c r="J111" s="195"/>
      <c r="K111" s="196"/>
      <c r="L111" s="195"/>
      <c r="M111" s="197">
        <v>1</v>
      </c>
      <c r="N111" s="198">
        <f>VLOOKUP($B111,ma!$A:$C,3,0)</f>
        <v>1800000</v>
      </c>
      <c r="O111" s="198">
        <f t="shared" si="0"/>
        <v>1800000</v>
      </c>
      <c r="P111" s="198">
        <f t="shared" si="10"/>
        <v>180000</v>
      </c>
      <c r="Q111" s="177"/>
      <c r="R111" s="177"/>
      <c r="S111" s="177"/>
      <c r="T111" s="177"/>
      <c r="U111" s="177"/>
      <c r="V111" s="22"/>
      <c r="W111" s="22"/>
      <c r="X111" s="22"/>
      <c r="Y111" s="22"/>
      <c r="Z111" s="22"/>
      <c r="AA111" s="22"/>
      <c r="AB111" s="22"/>
    </row>
    <row r="112" spans="1:28" ht="16">
      <c r="A112" s="190">
        <f t="shared" si="7"/>
        <v>106</v>
      </c>
      <c r="B112" s="191" t="s">
        <v>242</v>
      </c>
      <c r="C112" s="191" t="s">
        <v>2089</v>
      </c>
      <c r="D112" s="192">
        <v>46188</v>
      </c>
      <c r="E112" s="199" t="str">
        <f>VLOOKUP($C112,xe!$A:$B,2,0)</f>
        <v>50E-654.34</v>
      </c>
      <c r="F112" s="194" t="str">
        <f>VLOOKUP($B112,ma!$A:$B,2,0)</f>
        <v>LÀNG MAKARA XE LỚN</v>
      </c>
      <c r="G112" s="195"/>
      <c r="H112" s="195"/>
      <c r="I112" s="196"/>
      <c r="J112" s="195"/>
      <c r="K112" s="196"/>
      <c r="L112" s="195"/>
      <c r="M112" s="197">
        <v>15.13</v>
      </c>
      <c r="N112" s="198">
        <f>VLOOKUP($B112,ma!$A:$C,3,0)</f>
        <v>220000</v>
      </c>
      <c r="O112" s="198">
        <f t="shared" si="0"/>
        <v>3328600</v>
      </c>
      <c r="P112" s="198">
        <f t="shared" si="10"/>
        <v>332860</v>
      </c>
      <c r="Q112" s="177"/>
      <c r="R112" s="177"/>
      <c r="S112" s="177"/>
      <c r="T112" s="177"/>
      <c r="U112" s="177"/>
      <c r="V112" s="22"/>
      <c r="W112" s="22"/>
      <c r="X112" s="22"/>
      <c r="Y112" s="22"/>
      <c r="Z112" s="22"/>
      <c r="AA112" s="22"/>
      <c r="AB112" s="22"/>
    </row>
    <row r="113" spans="1:28" ht="16">
      <c r="A113" s="190">
        <f t="shared" si="7"/>
        <v>107</v>
      </c>
      <c r="B113" s="191" t="s">
        <v>136</v>
      </c>
      <c r="C113" s="191" t="s">
        <v>2097</v>
      </c>
      <c r="D113" s="192">
        <v>46188</v>
      </c>
      <c r="E113" s="199" t="str">
        <f>VLOOKUP($C113,xe!$A:$B,2,0)</f>
        <v>50E-324,01</v>
      </c>
      <c r="F113" s="194" t="str">
        <f>VLOOKUP($B113,ma!$A:$B,2,0)</f>
        <v>TUẤN LỘC Q7 PALLET</v>
      </c>
      <c r="G113" s="195"/>
      <c r="H113" s="195"/>
      <c r="I113" s="196"/>
      <c r="J113" s="195"/>
      <c r="K113" s="196"/>
      <c r="L113" s="195"/>
      <c r="M113" s="197"/>
      <c r="N113" s="198">
        <f>VLOOKUP($B113,ma!$A:$C,3,0)</f>
        <v>200000</v>
      </c>
      <c r="O113" s="198">
        <f t="shared" si="0"/>
        <v>0</v>
      </c>
      <c r="P113" s="198">
        <f t="shared" si="10"/>
        <v>0</v>
      </c>
      <c r="Q113" s="177"/>
      <c r="R113" s="177"/>
      <c r="S113" s="177"/>
      <c r="T113" s="177"/>
      <c r="U113" s="177"/>
      <c r="V113" s="22"/>
      <c r="W113" s="22"/>
      <c r="X113" s="22"/>
      <c r="Y113" s="22"/>
      <c r="Z113" s="22"/>
      <c r="AA113" s="22"/>
      <c r="AB113" s="22"/>
    </row>
    <row r="114" spans="1:28" ht="16">
      <c r="A114" s="190">
        <f t="shared" si="7"/>
        <v>108</v>
      </c>
      <c r="B114" s="191" t="s">
        <v>134</v>
      </c>
      <c r="C114" s="191" t="s">
        <v>2097</v>
      </c>
      <c r="D114" s="192">
        <v>46188</v>
      </c>
      <c r="E114" s="199" t="str">
        <f>VLOOKUP($C114,xe!$A:$B,2,0)</f>
        <v>50E-324,01</v>
      </c>
      <c r="F114" s="194" t="str">
        <f>VLOOKUP($B114,ma!$A:$B,2,0)</f>
        <v>TUẤN LỘC Q7 XÁ</v>
      </c>
      <c r="G114" s="195"/>
      <c r="H114" s="195"/>
      <c r="I114" s="196"/>
      <c r="J114" s="195"/>
      <c r="K114" s="196"/>
      <c r="L114" s="195"/>
      <c r="M114" s="197"/>
      <c r="N114" s="198">
        <f>VLOOKUP($B114,ma!$A:$C,3,0)</f>
        <v>200000</v>
      </c>
      <c r="O114" s="198">
        <f t="shared" si="0"/>
        <v>0</v>
      </c>
      <c r="P114" s="198">
        <f t="shared" si="10"/>
        <v>0</v>
      </c>
      <c r="Q114" s="177"/>
      <c r="R114" s="177"/>
      <c r="S114" s="177"/>
      <c r="T114" s="177"/>
      <c r="U114" s="177"/>
      <c r="V114" s="22"/>
      <c r="W114" s="22"/>
      <c r="X114" s="22"/>
      <c r="Y114" s="22"/>
      <c r="Z114" s="22"/>
      <c r="AA114" s="22"/>
      <c r="AB114" s="22"/>
    </row>
    <row r="115" spans="1:28" ht="16">
      <c r="A115" s="190">
        <f t="shared" si="7"/>
        <v>109</v>
      </c>
      <c r="B115" s="191" t="s">
        <v>101</v>
      </c>
      <c r="C115" s="191" t="s">
        <v>38</v>
      </c>
      <c r="D115" s="192">
        <v>46188</v>
      </c>
      <c r="E115" s="199" t="str">
        <f>VLOOKUP($C115,xe!$A:$B,2,0)</f>
        <v>50H-87055</v>
      </c>
      <c r="F115" s="194" t="str">
        <f>VLOOKUP($B115,ma!$A:$B,2,0)</f>
        <v>PHẠM ANH QUẬN 6 XÁ</v>
      </c>
      <c r="G115" s="195"/>
      <c r="H115" s="195"/>
      <c r="I115" s="196"/>
      <c r="J115" s="195"/>
      <c r="K115" s="196"/>
      <c r="L115" s="195"/>
      <c r="M115" s="197">
        <v>14.41</v>
      </c>
      <c r="N115" s="198">
        <f>VLOOKUP($B115,ma!$A:$C,3,0)</f>
        <v>200000</v>
      </c>
      <c r="O115" s="198">
        <f t="shared" si="0"/>
        <v>2882000</v>
      </c>
      <c r="P115" s="198">
        <f t="shared" si="10"/>
        <v>288200</v>
      </c>
      <c r="Q115" s="177"/>
      <c r="R115" s="177"/>
      <c r="S115" s="177"/>
      <c r="T115" s="177"/>
      <c r="U115" s="177"/>
      <c r="V115" s="22"/>
      <c r="W115" s="22"/>
      <c r="X115" s="22"/>
      <c r="Y115" s="22"/>
      <c r="Z115" s="22"/>
      <c r="AA115" s="22"/>
      <c r="AB115" s="22"/>
    </row>
    <row r="116" spans="1:28" ht="16">
      <c r="A116" s="190">
        <f t="shared" si="7"/>
        <v>110</v>
      </c>
      <c r="B116" s="191" t="s">
        <v>194</v>
      </c>
      <c r="C116" s="191" t="s">
        <v>40</v>
      </c>
      <c r="D116" s="192">
        <v>46188</v>
      </c>
      <c r="E116" s="199" t="str">
        <f>VLOOKUP($C116,xe!$A:$B,2,0)</f>
        <v>50E-757,74</v>
      </c>
      <c r="F116" s="194" t="str">
        <f>VLOOKUP($B116,ma!$A:$B,2,0)</f>
        <v>NDFC - NAIC BẾN LỨC</v>
      </c>
      <c r="G116" s="195"/>
      <c r="H116" s="195"/>
      <c r="I116" s="196"/>
      <c r="J116" s="195"/>
      <c r="K116" s="196"/>
      <c r="L116" s="195"/>
      <c r="M116" s="197">
        <v>1</v>
      </c>
      <c r="N116" s="198">
        <f>VLOOKUP($B116,ma!$A:$C,3,0)</f>
        <v>2400000</v>
      </c>
      <c r="O116" s="198">
        <f t="shared" si="0"/>
        <v>2400000</v>
      </c>
      <c r="P116" s="198">
        <f t="shared" si="10"/>
        <v>240000</v>
      </c>
      <c r="Q116" s="177"/>
      <c r="R116" s="177"/>
      <c r="S116" s="177"/>
      <c r="T116" s="177"/>
      <c r="U116" s="177"/>
      <c r="V116" s="22"/>
      <c r="W116" s="22"/>
      <c r="X116" s="22"/>
      <c r="Y116" s="22"/>
      <c r="Z116" s="22"/>
      <c r="AA116" s="22"/>
      <c r="AB116" s="22"/>
    </row>
    <row r="117" spans="1:28" ht="16">
      <c r="A117" s="190">
        <f t="shared" si="7"/>
        <v>111</v>
      </c>
      <c r="B117" s="191" t="s">
        <v>196</v>
      </c>
      <c r="C117" s="191" t="s">
        <v>40</v>
      </c>
      <c r="D117" s="192">
        <v>46188</v>
      </c>
      <c r="E117" s="199" t="str">
        <f>VLOOKUP($C117,xe!$A:$B,2,0)</f>
        <v>50E-757,74</v>
      </c>
      <c r="F117" s="194" t="str">
        <f>VLOOKUP($B117,ma!$A:$B,2,0)</f>
        <v>NAIC -UNI</v>
      </c>
      <c r="G117" s="195"/>
      <c r="H117" s="195"/>
      <c r="I117" s="196"/>
      <c r="J117" s="195"/>
      <c r="K117" s="196"/>
      <c r="L117" s="195"/>
      <c r="M117" s="197">
        <v>1</v>
      </c>
      <c r="N117" s="198">
        <f>VLOOKUP($B117,ma!$A:$C,3,0)</f>
        <v>1800000</v>
      </c>
      <c r="O117" s="198">
        <f t="shared" si="0"/>
        <v>1800000</v>
      </c>
      <c r="P117" s="198">
        <f t="shared" si="10"/>
        <v>180000</v>
      </c>
      <c r="Q117" s="177"/>
      <c r="R117" s="177"/>
      <c r="S117" s="177"/>
      <c r="T117" s="177"/>
      <c r="U117" s="177"/>
      <c r="V117" s="22"/>
      <c r="W117" s="22"/>
      <c r="X117" s="22"/>
      <c r="Y117" s="22"/>
      <c r="Z117" s="22"/>
      <c r="AA117" s="22"/>
      <c r="AB117" s="22"/>
    </row>
    <row r="118" spans="1:28" ht="16">
      <c r="A118" s="190">
        <f t="shared" si="7"/>
        <v>112</v>
      </c>
      <c r="B118" s="191" t="s">
        <v>206</v>
      </c>
      <c r="C118" s="191" t="s">
        <v>44</v>
      </c>
      <c r="D118" s="192">
        <v>46188</v>
      </c>
      <c r="E118" s="199" t="str">
        <f>VLOOKUP($C118,xe!$A:$B,2,0)</f>
        <v>50H-66347</v>
      </c>
      <c r="F118" s="194" t="str">
        <f>VLOOKUP($B118,ma!$A:$B,2,0)</f>
        <v>GIA HOÀNG TIỀN GIANG XÁ</v>
      </c>
      <c r="G118" s="195"/>
      <c r="H118" s="195"/>
      <c r="I118" s="196"/>
      <c r="J118" s="195"/>
      <c r="K118" s="196"/>
      <c r="L118" s="195"/>
      <c r="M118" s="197">
        <v>18.399999999999999</v>
      </c>
      <c r="N118" s="198">
        <f>VLOOKUP($B118,ma!$A:$C,3,0)</f>
        <v>230000</v>
      </c>
      <c r="O118" s="198">
        <f t="shared" si="0"/>
        <v>4232000</v>
      </c>
      <c r="P118" s="198">
        <f t="shared" si="10"/>
        <v>423200</v>
      </c>
      <c r="Q118" s="177"/>
      <c r="R118" s="177"/>
      <c r="S118" s="177"/>
      <c r="T118" s="177"/>
      <c r="U118" s="177"/>
      <c r="V118" s="22"/>
      <c r="W118" s="22"/>
      <c r="X118" s="22"/>
      <c r="Y118" s="22"/>
      <c r="Z118" s="22"/>
      <c r="AA118" s="22"/>
      <c r="AB118" s="22"/>
    </row>
    <row r="119" spans="1:28" ht="16">
      <c r="A119" s="200">
        <f t="shared" si="7"/>
        <v>113</v>
      </c>
      <c r="B119" s="201" t="s">
        <v>2095</v>
      </c>
      <c r="C119" s="201" t="s">
        <v>2100</v>
      </c>
      <c r="D119" s="202">
        <v>46189</v>
      </c>
      <c r="E119" s="203" t="str">
        <f>VLOOKUP($C119,xe!$A:$B,2,0)</f>
        <v>50E-648.73</v>
      </c>
      <c r="F119" s="204" t="str">
        <f>VLOOKUP($B119,ma!$A:$B,2,0)</f>
        <v>NAIC -UNI</v>
      </c>
      <c r="G119" s="205"/>
      <c r="H119" s="205"/>
      <c r="I119" s="206"/>
      <c r="J119" s="205"/>
      <c r="K119" s="206"/>
      <c r="L119" s="205"/>
      <c r="M119" s="207">
        <v>1</v>
      </c>
      <c r="N119" s="208">
        <f>VLOOKUP($B119,ma!$A:$C,3,0)</f>
        <v>1800000</v>
      </c>
      <c r="O119" s="208">
        <f t="shared" si="0"/>
        <v>1800000</v>
      </c>
      <c r="P119" s="208">
        <f t="shared" si="10"/>
        <v>180000</v>
      </c>
      <c r="Q119" s="209"/>
      <c r="R119" s="209"/>
      <c r="S119" s="209"/>
      <c r="T119" s="209"/>
      <c r="U119" s="209"/>
      <c r="V119" s="210"/>
      <c r="W119" s="210"/>
      <c r="X119" s="210"/>
      <c r="Y119" s="210"/>
      <c r="Z119" s="210"/>
      <c r="AA119" s="210"/>
      <c r="AB119" s="210"/>
    </row>
    <row r="120" spans="1:28" ht="16">
      <c r="A120" s="190">
        <f t="shared" si="7"/>
        <v>114</v>
      </c>
      <c r="B120" s="191" t="s">
        <v>2102</v>
      </c>
      <c r="C120" s="191" t="s">
        <v>2100</v>
      </c>
      <c r="D120" s="192">
        <v>46189</v>
      </c>
      <c r="E120" s="193" t="str">
        <f>VLOOKUP($C120,xe!$A:$B,2,0)</f>
        <v>50E-648.73</v>
      </c>
      <c r="F120" s="194" t="str">
        <f>VLOOKUP($B120,ma!$A:$B,2,0)</f>
        <v>QUẬN 9 PALLET</v>
      </c>
      <c r="G120" s="195"/>
      <c r="H120" s="195"/>
      <c r="I120" s="196"/>
      <c r="J120" s="195"/>
      <c r="K120" s="196"/>
      <c r="L120" s="195"/>
      <c r="M120" s="197">
        <v>12.68</v>
      </c>
      <c r="N120" s="198">
        <f>VLOOKUP($B120,ma!$A:$C,3,0)</f>
        <v>200000</v>
      </c>
      <c r="O120" s="198">
        <f t="shared" si="0"/>
        <v>2536000</v>
      </c>
      <c r="P120" s="198">
        <f t="shared" si="10"/>
        <v>253600</v>
      </c>
      <c r="Q120" s="177"/>
      <c r="R120" s="177"/>
      <c r="S120" s="177"/>
      <c r="T120" s="177"/>
      <c r="U120" s="177"/>
      <c r="V120" s="22"/>
      <c r="W120" s="22"/>
      <c r="X120" s="22"/>
      <c r="Y120" s="22"/>
      <c r="Z120" s="22"/>
      <c r="AA120" s="22"/>
      <c r="AB120" s="22"/>
    </row>
    <row r="121" spans="1:28" ht="16">
      <c r="A121" s="190">
        <f t="shared" si="7"/>
        <v>115</v>
      </c>
      <c r="B121" s="191" t="s">
        <v>2094</v>
      </c>
      <c r="C121" s="191" t="s">
        <v>2089</v>
      </c>
      <c r="D121" s="192">
        <v>46189</v>
      </c>
      <c r="E121" s="199" t="str">
        <f>VLOOKUP($C121,xe!$A:$B,2,0)</f>
        <v>50E-654.34</v>
      </c>
      <c r="F121" s="194" t="str">
        <f>VLOOKUP($B121,ma!$A:$B,2,0)</f>
        <v>NDFC - NAIC BẾN LỨC</v>
      </c>
      <c r="G121" s="195"/>
      <c r="H121" s="195"/>
      <c r="I121" s="196"/>
      <c r="J121" s="195"/>
      <c r="K121" s="196"/>
      <c r="L121" s="195"/>
      <c r="M121" s="197">
        <v>1</v>
      </c>
      <c r="N121" s="198">
        <f>VLOOKUP($B121,ma!$A:$C,3,0)</f>
        <v>2400000</v>
      </c>
      <c r="O121" s="198">
        <f t="shared" si="0"/>
        <v>2400000</v>
      </c>
      <c r="P121" s="198">
        <f t="shared" si="10"/>
        <v>240000</v>
      </c>
      <c r="Q121" s="177"/>
      <c r="R121" s="177"/>
      <c r="S121" s="177"/>
      <c r="T121" s="177"/>
      <c r="U121" s="177"/>
      <c r="V121" s="22"/>
      <c r="W121" s="22"/>
      <c r="X121" s="22"/>
      <c r="Y121" s="22"/>
      <c r="Z121" s="22"/>
      <c r="AA121" s="22"/>
      <c r="AB121" s="22"/>
    </row>
    <row r="122" spans="1:28" ht="16">
      <c r="A122" s="190">
        <f t="shared" si="7"/>
        <v>116</v>
      </c>
      <c r="B122" s="191" t="s">
        <v>2095</v>
      </c>
      <c r="C122" s="191" t="s">
        <v>2089</v>
      </c>
      <c r="D122" s="192">
        <v>46189</v>
      </c>
      <c r="E122" s="199" t="str">
        <f>VLOOKUP($C122,xe!$A:$B,2,0)</f>
        <v>50E-654.34</v>
      </c>
      <c r="F122" s="194" t="str">
        <f>VLOOKUP($B122,ma!$A:$B,2,0)</f>
        <v>NAIC -UNI</v>
      </c>
      <c r="G122" s="195"/>
      <c r="H122" s="195"/>
      <c r="I122" s="196"/>
      <c r="J122" s="195"/>
      <c r="K122" s="196"/>
      <c r="L122" s="195"/>
      <c r="M122" s="197">
        <v>1</v>
      </c>
      <c r="N122" s="198">
        <f>VLOOKUP($B122,ma!$A:$C,3,0)</f>
        <v>1800000</v>
      </c>
      <c r="O122" s="198">
        <f t="shared" si="0"/>
        <v>1800000</v>
      </c>
      <c r="P122" s="198">
        <f t="shared" si="10"/>
        <v>180000</v>
      </c>
      <c r="Q122" s="177"/>
      <c r="R122" s="177"/>
      <c r="S122" s="177"/>
      <c r="T122" s="177"/>
      <c r="U122" s="177"/>
      <c r="V122" s="22"/>
      <c r="W122" s="22"/>
      <c r="X122" s="22"/>
      <c r="Y122" s="22"/>
      <c r="Z122" s="22"/>
      <c r="AA122" s="22"/>
      <c r="AB122" s="22"/>
    </row>
    <row r="123" spans="1:28" ht="16">
      <c r="A123" s="190">
        <f t="shared" si="7"/>
        <v>117</v>
      </c>
      <c r="B123" s="191" t="s">
        <v>2093</v>
      </c>
      <c r="C123" s="191" t="s">
        <v>2097</v>
      </c>
      <c r="D123" s="192">
        <v>46189</v>
      </c>
      <c r="E123" s="199" t="str">
        <f>VLOOKUP($C123,xe!$A:$B,2,0)</f>
        <v>50E-324,01</v>
      </c>
      <c r="F123" s="194" t="str">
        <f>VLOOKUP($B123,ma!$A:$B,2,0)</f>
        <v>PHẠM ANH QUẬN 6 PALLET</v>
      </c>
      <c r="G123" s="195"/>
      <c r="H123" s="195"/>
      <c r="I123" s="196"/>
      <c r="J123" s="195"/>
      <c r="K123" s="196"/>
      <c r="L123" s="195"/>
      <c r="M123" s="197"/>
      <c r="N123" s="198">
        <f>VLOOKUP($B123,ma!$A:$C,3,0)</f>
        <v>200000</v>
      </c>
      <c r="O123" s="198">
        <f t="shared" si="0"/>
        <v>0</v>
      </c>
      <c r="P123" s="198">
        <f t="shared" si="10"/>
        <v>0</v>
      </c>
      <c r="Q123" s="177"/>
      <c r="R123" s="177"/>
      <c r="S123" s="177"/>
      <c r="T123" s="177"/>
      <c r="U123" s="177"/>
      <c r="V123" s="22"/>
      <c r="W123" s="22"/>
      <c r="X123" s="22"/>
      <c r="Y123" s="22"/>
      <c r="Z123" s="22"/>
      <c r="AA123" s="22"/>
      <c r="AB123" s="22"/>
    </row>
    <row r="124" spans="1:28" ht="16">
      <c r="A124" s="190">
        <f t="shared" si="7"/>
        <v>118</v>
      </c>
      <c r="B124" s="191" t="s">
        <v>2096</v>
      </c>
      <c r="C124" s="191" t="s">
        <v>2097</v>
      </c>
      <c r="D124" s="192">
        <v>46189</v>
      </c>
      <c r="E124" s="199" t="str">
        <f>VLOOKUP($C124,xe!$A:$B,2,0)</f>
        <v>50E-324,01</v>
      </c>
      <c r="F124" s="194" t="str">
        <f>VLOOKUP($B124,ma!$A:$B,2,0)</f>
        <v>TUẤN LỘC Q7 PALLET</v>
      </c>
      <c r="G124" s="195"/>
      <c r="H124" s="195"/>
      <c r="I124" s="196"/>
      <c r="J124" s="195"/>
      <c r="K124" s="196"/>
      <c r="L124" s="195"/>
      <c r="M124" s="197"/>
      <c r="N124" s="198">
        <f>VLOOKUP($B124,ma!$A:$C,3,0)</f>
        <v>200000</v>
      </c>
      <c r="O124" s="198">
        <f t="shared" si="0"/>
        <v>0</v>
      </c>
      <c r="P124" s="198">
        <f t="shared" si="10"/>
        <v>0</v>
      </c>
      <c r="Q124" s="177"/>
      <c r="R124" s="177"/>
      <c r="S124" s="177"/>
      <c r="T124" s="177"/>
      <c r="U124" s="177"/>
      <c r="V124" s="22"/>
      <c r="W124" s="22"/>
      <c r="X124" s="22"/>
      <c r="Y124" s="22"/>
      <c r="Z124" s="22"/>
      <c r="AA124" s="22"/>
      <c r="AB124" s="22"/>
    </row>
    <row r="125" spans="1:28" ht="16">
      <c r="A125" s="190">
        <f t="shared" si="7"/>
        <v>119</v>
      </c>
      <c r="B125" s="191" t="s">
        <v>2088</v>
      </c>
      <c r="C125" s="191" t="s">
        <v>38</v>
      </c>
      <c r="D125" s="192">
        <v>46189</v>
      </c>
      <c r="E125" s="199" t="str">
        <f>VLOOKUP($C125,xe!$A:$B,2,0)</f>
        <v>50H-87055</v>
      </c>
      <c r="F125" s="194" t="str">
        <f>VLOOKUP($B125,ma!$A:$B,2,0)</f>
        <v>QUẬN 8 XÁ</v>
      </c>
      <c r="G125" s="195"/>
      <c r="H125" s="195"/>
      <c r="I125" s="196"/>
      <c r="J125" s="195"/>
      <c r="K125" s="196"/>
      <c r="L125" s="195"/>
      <c r="M125" s="197">
        <v>14.49</v>
      </c>
      <c r="N125" s="198">
        <f>VLOOKUP($B125,ma!$A:$C,3,0)</f>
        <v>200000</v>
      </c>
      <c r="O125" s="198">
        <f t="shared" si="0"/>
        <v>2898000</v>
      </c>
      <c r="P125" s="198">
        <f t="shared" si="10"/>
        <v>289800</v>
      </c>
      <c r="Q125" s="177"/>
      <c r="R125" s="177"/>
      <c r="S125" s="177"/>
      <c r="T125" s="177"/>
      <c r="U125" s="177"/>
      <c r="V125" s="22"/>
      <c r="W125" s="22"/>
      <c r="X125" s="22"/>
      <c r="Y125" s="22"/>
      <c r="Z125" s="22"/>
      <c r="AA125" s="22"/>
      <c r="AB125" s="22"/>
    </row>
    <row r="126" spans="1:28" ht="16">
      <c r="A126" s="190">
        <f t="shared" si="7"/>
        <v>120</v>
      </c>
      <c r="B126" s="191" t="s">
        <v>2088</v>
      </c>
      <c r="C126" s="191" t="s">
        <v>40</v>
      </c>
      <c r="D126" s="192">
        <v>46189</v>
      </c>
      <c r="E126" s="199" t="str">
        <f>VLOOKUP($C126,xe!$A:$B,2,0)</f>
        <v>50E-757,74</v>
      </c>
      <c r="F126" s="194" t="str">
        <f>VLOOKUP($B126,ma!$A:$B,2,0)</f>
        <v>QUẬN 8 XÁ</v>
      </c>
      <c r="G126" s="195"/>
      <c r="H126" s="195"/>
      <c r="I126" s="196"/>
      <c r="J126" s="195"/>
      <c r="K126" s="196"/>
      <c r="L126" s="195"/>
      <c r="M126" s="197"/>
      <c r="N126" s="198">
        <f>VLOOKUP($B126,ma!$A:$C,3,0)</f>
        <v>200000</v>
      </c>
      <c r="O126" s="198">
        <f t="shared" si="0"/>
        <v>0</v>
      </c>
      <c r="P126" s="198">
        <f t="shared" si="10"/>
        <v>0</v>
      </c>
      <c r="Q126" s="177"/>
      <c r="R126" s="177"/>
      <c r="S126" s="177"/>
      <c r="T126" s="177"/>
      <c r="U126" s="177"/>
      <c r="V126" s="22"/>
      <c r="W126" s="22"/>
      <c r="X126" s="22"/>
      <c r="Y126" s="22"/>
      <c r="Z126" s="22"/>
      <c r="AA126" s="22"/>
      <c r="AB126" s="22"/>
    </row>
    <row r="127" spans="1:28" ht="16">
      <c r="A127" s="190">
        <f t="shared" si="7"/>
        <v>121</v>
      </c>
      <c r="B127" s="191" t="s">
        <v>2094</v>
      </c>
      <c r="C127" s="191" t="s">
        <v>44</v>
      </c>
      <c r="D127" s="192">
        <v>46189</v>
      </c>
      <c r="E127" s="199" t="str">
        <f>VLOOKUP($C127,xe!$A:$B,2,0)</f>
        <v>50H-66347</v>
      </c>
      <c r="F127" s="194" t="str">
        <f>VLOOKUP($B127,ma!$A:$B,2,0)</f>
        <v>NDFC - NAIC BẾN LỨC</v>
      </c>
      <c r="G127" s="195"/>
      <c r="H127" s="195"/>
      <c r="I127" s="196"/>
      <c r="J127" s="195"/>
      <c r="K127" s="196"/>
      <c r="L127" s="195"/>
      <c r="M127" s="197">
        <v>1</v>
      </c>
      <c r="N127" s="198">
        <f>VLOOKUP($B127,ma!$A:$C,3,0)</f>
        <v>2400000</v>
      </c>
      <c r="O127" s="198">
        <f t="shared" si="0"/>
        <v>2400000</v>
      </c>
      <c r="P127" s="198">
        <f t="shared" si="10"/>
        <v>240000</v>
      </c>
      <c r="Q127" s="177"/>
      <c r="R127" s="177"/>
      <c r="S127" s="177"/>
      <c r="T127" s="177"/>
      <c r="U127" s="177"/>
      <c r="V127" s="22"/>
      <c r="W127" s="22"/>
      <c r="X127" s="22"/>
      <c r="Y127" s="22"/>
      <c r="Z127" s="22"/>
      <c r="AA127" s="22"/>
      <c r="AB127" s="22"/>
    </row>
    <row r="128" spans="1:28" ht="16">
      <c r="A128" s="190">
        <f t="shared" si="7"/>
        <v>122</v>
      </c>
      <c r="B128" s="191" t="s">
        <v>2095</v>
      </c>
      <c r="C128" s="191" t="s">
        <v>44</v>
      </c>
      <c r="D128" s="192">
        <v>46189</v>
      </c>
      <c r="E128" s="199" t="str">
        <f>VLOOKUP($C128,xe!$A:$B,2,0)</f>
        <v>50H-66347</v>
      </c>
      <c r="F128" s="194" t="str">
        <f>VLOOKUP($B128,ma!$A:$B,2,0)</f>
        <v>NAIC -UNI</v>
      </c>
      <c r="G128" s="195"/>
      <c r="H128" s="195"/>
      <c r="I128" s="196"/>
      <c r="J128" s="195"/>
      <c r="K128" s="196"/>
      <c r="L128" s="195"/>
      <c r="M128" s="197">
        <v>1</v>
      </c>
      <c r="N128" s="198">
        <f>VLOOKUP($B128,ma!$A:$C,3,0)</f>
        <v>1800000</v>
      </c>
      <c r="O128" s="198">
        <f t="shared" si="0"/>
        <v>1800000</v>
      </c>
      <c r="P128" s="198">
        <f t="shared" si="10"/>
        <v>180000</v>
      </c>
      <c r="Q128" s="209"/>
      <c r="R128" s="209"/>
      <c r="S128" s="209"/>
      <c r="T128" s="209"/>
      <c r="U128" s="209"/>
      <c r="V128" s="210"/>
      <c r="W128" s="210"/>
      <c r="X128" s="210"/>
      <c r="Y128" s="210"/>
      <c r="Z128" s="210"/>
      <c r="AA128" s="210"/>
      <c r="AB128" s="210"/>
    </row>
    <row r="129" spans="1:28" ht="16">
      <c r="A129" s="190">
        <f t="shared" si="7"/>
        <v>123</v>
      </c>
      <c r="B129" s="191" t="s">
        <v>2096</v>
      </c>
      <c r="C129" s="191" t="s">
        <v>44</v>
      </c>
      <c r="D129" s="192">
        <v>46189</v>
      </c>
      <c r="E129" s="199" t="str">
        <f>VLOOKUP($C129,xe!$A:$B,2,0)</f>
        <v>50H-66347</v>
      </c>
      <c r="F129" s="194" t="str">
        <f>VLOOKUP($B129,ma!$A:$B,2,0)</f>
        <v>TUẤN LỘC Q7 PALLET</v>
      </c>
      <c r="G129" s="195"/>
      <c r="H129" s="195"/>
      <c r="I129" s="196"/>
      <c r="J129" s="195"/>
      <c r="K129" s="196"/>
      <c r="L129" s="195"/>
      <c r="M129" s="197">
        <v>13.05</v>
      </c>
      <c r="N129" s="198">
        <f>VLOOKUP($B129,ma!$A:$C,3,0)</f>
        <v>200000</v>
      </c>
      <c r="O129" s="198">
        <f t="shared" si="0"/>
        <v>2610000</v>
      </c>
      <c r="P129" s="198">
        <f t="shared" si="10"/>
        <v>261000</v>
      </c>
      <c r="Q129" s="177"/>
      <c r="R129" s="177"/>
      <c r="S129" s="177"/>
      <c r="T129" s="177"/>
      <c r="U129" s="177"/>
      <c r="V129" s="22"/>
      <c r="W129" s="22"/>
      <c r="X129" s="22"/>
      <c r="Y129" s="22"/>
      <c r="Z129" s="22"/>
      <c r="AA129" s="22"/>
      <c r="AB129" s="22"/>
    </row>
    <row r="130" spans="1:28" ht="16">
      <c r="A130" s="200">
        <f t="shared" si="7"/>
        <v>124</v>
      </c>
      <c r="B130" s="201" t="s">
        <v>107</v>
      </c>
      <c r="C130" s="201" t="s">
        <v>2100</v>
      </c>
      <c r="D130" s="202">
        <v>46190</v>
      </c>
      <c r="E130" s="203" t="str">
        <f>VLOOKUP($C130,xe!$A:$B,2,0)</f>
        <v>50E-648.73</v>
      </c>
      <c r="F130" s="204" t="str">
        <f>VLOOKUP($B130,ma!$A:$B,2,0)</f>
        <v>QUẬN 8 PALLET</v>
      </c>
      <c r="G130" s="205"/>
      <c r="H130" s="205"/>
      <c r="I130" s="206"/>
      <c r="J130" s="205"/>
      <c r="K130" s="206"/>
      <c r="L130" s="205"/>
      <c r="M130" s="207">
        <v>14.59</v>
      </c>
      <c r="N130" s="208">
        <f>VLOOKUP($B130,ma!$A:$C,3,0)</f>
        <v>200000</v>
      </c>
      <c r="O130" s="208">
        <f t="shared" si="0"/>
        <v>2918000</v>
      </c>
      <c r="P130" s="208">
        <f t="shared" si="10"/>
        <v>291800</v>
      </c>
      <c r="Q130" s="209"/>
      <c r="R130" s="209"/>
      <c r="S130" s="209"/>
      <c r="T130" s="209"/>
      <c r="U130" s="209"/>
      <c r="V130" s="210"/>
      <c r="W130" s="210"/>
      <c r="X130" s="210"/>
      <c r="Y130" s="210"/>
      <c r="Z130" s="210"/>
      <c r="AA130" s="210"/>
      <c r="AB130" s="210"/>
    </row>
    <row r="131" spans="1:28" ht="16">
      <c r="A131" s="190">
        <f t="shared" si="7"/>
        <v>125</v>
      </c>
      <c r="B131" s="191" t="s">
        <v>111</v>
      </c>
      <c r="C131" s="191" t="s">
        <v>2089</v>
      </c>
      <c r="D131" s="192">
        <v>46190</v>
      </c>
      <c r="E131" s="199" t="str">
        <f>VLOOKUP($C131,xe!$A:$B,2,0)</f>
        <v>50E-654.34</v>
      </c>
      <c r="F131" s="194" t="str">
        <f>VLOOKUP($B131,ma!$A:$B,2,0)</f>
        <v>QUẬN 9 PALLET</v>
      </c>
      <c r="G131" s="195"/>
      <c r="H131" s="195"/>
      <c r="I131" s="196"/>
      <c r="J131" s="195"/>
      <c r="K131" s="196"/>
      <c r="L131" s="195"/>
      <c r="M131" s="197">
        <v>12.2</v>
      </c>
      <c r="N131" s="198">
        <f>VLOOKUP($B131,ma!$A:$C,3,0)</f>
        <v>200000</v>
      </c>
      <c r="O131" s="198">
        <f t="shared" si="0"/>
        <v>2440000</v>
      </c>
      <c r="P131" s="198">
        <f t="shared" si="10"/>
        <v>244000</v>
      </c>
      <c r="Q131" s="177"/>
      <c r="R131" s="177"/>
      <c r="S131" s="177"/>
      <c r="T131" s="177"/>
      <c r="U131" s="177"/>
      <c r="V131" s="22"/>
      <c r="W131" s="22"/>
      <c r="X131" s="22"/>
      <c r="Y131" s="22"/>
      <c r="Z131" s="22"/>
      <c r="AA131" s="22"/>
      <c r="AB131" s="22"/>
    </row>
    <row r="132" spans="1:28" ht="16">
      <c r="A132" s="190">
        <f t="shared" si="7"/>
        <v>126</v>
      </c>
      <c r="B132" s="191" t="s">
        <v>136</v>
      </c>
      <c r="C132" s="191" t="s">
        <v>2097</v>
      </c>
      <c r="D132" s="192">
        <v>46190</v>
      </c>
      <c r="E132" s="199" t="str">
        <f>VLOOKUP($C132,xe!$A:$B,2,0)</f>
        <v>50E-324,01</v>
      </c>
      <c r="F132" s="194" t="str">
        <f>VLOOKUP($B132,ma!$A:$B,2,0)</f>
        <v>TUẤN LỘC Q7 PALLET</v>
      </c>
      <c r="G132" s="195"/>
      <c r="H132" s="195"/>
      <c r="I132" s="196"/>
      <c r="J132" s="195"/>
      <c r="K132" s="196"/>
      <c r="L132" s="195"/>
      <c r="M132" s="197"/>
      <c r="N132" s="198">
        <f>VLOOKUP($B132,ma!$A:$C,3,0)</f>
        <v>200000</v>
      </c>
      <c r="O132" s="198">
        <f t="shared" si="0"/>
        <v>0</v>
      </c>
      <c r="P132" s="198">
        <f t="shared" si="10"/>
        <v>0</v>
      </c>
      <c r="Q132" s="177"/>
      <c r="R132" s="177"/>
      <c r="S132" s="177"/>
      <c r="T132" s="177"/>
      <c r="U132" s="177"/>
      <c r="V132" s="22"/>
      <c r="W132" s="22"/>
      <c r="X132" s="22"/>
      <c r="Y132" s="22"/>
      <c r="Z132" s="22"/>
      <c r="AA132" s="22"/>
      <c r="AB132" s="22"/>
    </row>
    <row r="133" spans="1:28" ht="16">
      <c r="A133" s="190">
        <f t="shared" si="7"/>
        <v>127</v>
      </c>
      <c r="B133" s="191" t="s">
        <v>196</v>
      </c>
      <c r="C133" s="191" t="s">
        <v>2097</v>
      </c>
      <c r="D133" s="192">
        <v>46190</v>
      </c>
      <c r="E133" s="199" t="str">
        <f>VLOOKUP($C133,xe!$A:$B,2,0)</f>
        <v>50E-324,01</v>
      </c>
      <c r="F133" s="194" t="str">
        <f>VLOOKUP($B133,ma!$A:$B,2,0)</f>
        <v>NAIC -UNI</v>
      </c>
      <c r="G133" s="195"/>
      <c r="H133" s="195"/>
      <c r="I133" s="196"/>
      <c r="J133" s="195"/>
      <c r="K133" s="196"/>
      <c r="L133" s="195"/>
      <c r="M133" s="197">
        <v>1</v>
      </c>
      <c r="N133" s="198">
        <f>VLOOKUP($B133,ma!$A:$C,3,0)</f>
        <v>1800000</v>
      </c>
      <c r="O133" s="198">
        <f t="shared" si="0"/>
        <v>1800000</v>
      </c>
      <c r="P133" s="198">
        <f t="shared" si="10"/>
        <v>180000</v>
      </c>
      <c r="Q133" s="177"/>
      <c r="R133" s="177"/>
      <c r="S133" s="177"/>
      <c r="T133" s="177"/>
      <c r="U133" s="177"/>
      <c r="V133" s="22"/>
      <c r="W133" s="22"/>
      <c r="X133" s="22"/>
      <c r="Y133" s="22"/>
      <c r="Z133" s="22"/>
      <c r="AA133" s="22"/>
      <c r="AB133" s="22"/>
    </row>
    <row r="134" spans="1:28" ht="16">
      <c r="A134" s="190">
        <f t="shared" si="7"/>
        <v>128</v>
      </c>
      <c r="B134" s="191" t="s">
        <v>107</v>
      </c>
      <c r="C134" s="191" t="s">
        <v>38</v>
      </c>
      <c r="D134" s="192">
        <v>46190</v>
      </c>
      <c r="E134" s="199" t="str">
        <f>VLOOKUP($C134,xe!$A:$B,2,0)</f>
        <v>50H-87055</v>
      </c>
      <c r="F134" s="194" t="str">
        <f>VLOOKUP($B134,ma!$A:$B,2,0)</f>
        <v>QUẬN 8 PALLET</v>
      </c>
      <c r="G134" s="195"/>
      <c r="H134" s="195"/>
      <c r="I134" s="196"/>
      <c r="J134" s="195"/>
      <c r="K134" s="196"/>
      <c r="L134" s="195"/>
      <c r="M134" s="197">
        <v>14.35</v>
      </c>
      <c r="N134" s="198">
        <f>VLOOKUP($B134,ma!$A:$C,3,0)</f>
        <v>200000</v>
      </c>
      <c r="O134" s="198">
        <f t="shared" si="0"/>
        <v>2870000</v>
      </c>
      <c r="P134" s="198">
        <f t="shared" si="10"/>
        <v>287000</v>
      </c>
      <c r="Q134" s="177"/>
      <c r="R134" s="177"/>
      <c r="S134" s="177"/>
      <c r="T134" s="177"/>
      <c r="U134" s="177"/>
      <c r="V134" s="22"/>
      <c r="W134" s="22"/>
      <c r="X134" s="22"/>
      <c r="Y134" s="22"/>
      <c r="Z134" s="22"/>
      <c r="AA134" s="22"/>
      <c r="AB134" s="22"/>
    </row>
    <row r="135" spans="1:28" ht="16">
      <c r="A135" s="190">
        <f t="shared" si="7"/>
        <v>129</v>
      </c>
      <c r="B135" s="191" t="s">
        <v>136</v>
      </c>
      <c r="C135" s="191" t="s">
        <v>40</v>
      </c>
      <c r="D135" s="192">
        <v>46190</v>
      </c>
      <c r="E135" s="199" t="str">
        <f>VLOOKUP($C135,xe!$A:$B,2,0)</f>
        <v>50E-757,74</v>
      </c>
      <c r="F135" s="194" t="str">
        <f>VLOOKUP($B135,ma!$A:$B,2,0)</f>
        <v>TUẤN LỘC Q7 PALLET</v>
      </c>
      <c r="G135" s="195"/>
      <c r="H135" s="195"/>
      <c r="I135" s="196"/>
      <c r="J135" s="195"/>
      <c r="K135" s="196"/>
      <c r="L135" s="195"/>
      <c r="M135" s="197">
        <v>13.74</v>
      </c>
      <c r="N135" s="198">
        <f>VLOOKUP($B135,ma!$A:$C,3,0)</f>
        <v>200000</v>
      </c>
      <c r="O135" s="198">
        <f t="shared" si="0"/>
        <v>2748000</v>
      </c>
      <c r="P135" s="198">
        <f t="shared" si="10"/>
        <v>274800</v>
      </c>
      <c r="Q135" s="177"/>
      <c r="R135" s="177"/>
      <c r="S135" s="177"/>
      <c r="T135" s="177"/>
      <c r="U135" s="177"/>
      <c r="V135" s="22"/>
      <c r="W135" s="22"/>
      <c r="X135" s="22"/>
      <c r="Y135" s="22"/>
      <c r="Z135" s="22"/>
      <c r="AA135" s="22"/>
      <c r="AB135" s="22"/>
    </row>
    <row r="136" spans="1:28" ht="16">
      <c r="A136" s="190">
        <f t="shared" si="7"/>
        <v>130</v>
      </c>
      <c r="B136" s="191" t="s">
        <v>196</v>
      </c>
      <c r="C136" s="191" t="s">
        <v>44</v>
      </c>
      <c r="D136" s="192">
        <v>46190</v>
      </c>
      <c r="E136" s="199" t="str">
        <f>VLOOKUP($C136,xe!$A:$B,2,0)</f>
        <v>50H-66347</v>
      </c>
      <c r="F136" s="194" t="str">
        <f>VLOOKUP($B136,ma!$A:$B,2,0)</f>
        <v>NAIC -UNI</v>
      </c>
      <c r="G136" s="195"/>
      <c r="H136" s="195"/>
      <c r="I136" s="196"/>
      <c r="J136" s="195"/>
      <c r="K136" s="196"/>
      <c r="L136" s="195"/>
      <c r="M136" s="197">
        <v>1</v>
      </c>
      <c r="N136" s="198">
        <f>VLOOKUP($B136,ma!$A:$C,3,0)</f>
        <v>1800000</v>
      </c>
      <c r="O136" s="198">
        <f t="shared" si="0"/>
        <v>1800000</v>
      </c>
      <c r="P136" s="198">
        <f t="shared" si="10"/>
        <v>180000</v>
      </c>
      <c r="Q136" s="177"/>
      <c r="R136" s="177"/>
      <c r="S136" s="177"/>
      <c r="T136" s="177"/>
      <c r="U136" s="177"/>
      <c r="V136" s="22"/>
      <c r="W136" s="22"/>
      <c r="X136" s="22"/>
      <c r="Y136" s="22"/>
      <c r="Z136" s="22"/>
      <c r="AA136" s="22"/>
      <c r="AB136" s="22"/>
    </row>
    <row r="137" spans="1:28" ht="16">
      <c r="A137" s="190">
        <f t="shared" si="7"/>
        <v>131</v>
      </c>
      <c r="B137" s="191" t="s">
        <v>190</v>
      </c>
      <c r="C137" s="191" t="s">
        <v>44</v>
      </c>
      <c r="D137" s="192">
        <v>46190</v>
      </c>
      <c r="E137" s="199" t="str">
        <f>VLOOKUP($C137,xe!$A:$B,2,0)</f>
        <v>50H-66347</v>
      </c>
      <c r="F137" s="194" t="str">
        <f>VLOOKUP($B137,ma!$A:$B,2,0)</f>
        <v>NESTLE 7-10</v>
      </c>
      <c r="G137" s="195"/>
      <c r="H137" s="195"/>
      <c r="I137" s="196"/>
      <c r="J137" s="195"/>
      <c r="K137" s="196"/>
      <c r="L137" s="195"/>
      <c r="M137" s="197"/>
      <c r="N137" s="198">
        <f>VLOOKUP($B137,ma!$A:$C,3,0)</f>
        <v>393000</v>
      </c>
      <c r="O137" s="198">
        <f t="shared" si="0"/>
        <v>0</v>
      </c>
      <c r="P137" s="198">
        <f t="shared" si="10"/>
        <v>0</v>
      </c>
      <c r="Q137" s="177"/>
      <c r="R137" s="177"/>
      <c r="S137" s="177"/>
      <c r="T137" s="177"/>
      <c r="U137" s="177"/>
      <c r="V137" s="22"/>
      <c r="W137" s="22"/>
      <c r="X137" s="22"/>
      <c r="Y137" s="22"/>
      <c r="Z137" s="22"/>
      <c r="AA137" s="22"/>
      <c r="AB137" s="22"/>
    </row>
    <row r="138" spans="1:28" ht="16">
      <c r="A138" s="200">
        <f t="shared" si="7"/>
        <v>132</v>
      </c>
      <c r="B138" s="201" t="s">
        <v>2094</v>
      </c>
      <c r="C138" s="201" t="s">
        <v>2100</v>
      </c>
      <c r="D138" s="202">
        <v>46191</v>
      </c>
      <c r="E138" s="203" t="str">
        <f>VLOOKUP($C138,xe!$A:$B,2,0)</f>
        <v>50E-648.73</v>
      </c>
      <c r="F138" s="204" t="str">
        <f>VLOOKUP($B138,ma!$A:$B,2,0)</f>
        <v>NDFC - NAIC BẾN LỨC</v>
      </c>
      <c r="G138" s="205"/>
      <c r="H138" s="205"/>
      <c r="I138" s="206"/>
      <c r="J138" s="205"/>
      <c r="K138" s="206"/>
      <c r="L138" s="205"/>
      <c r="M138" s="207">
        <v>1</v>
      </c>
      <c r="N138" s="208">
        <f>VLOOKUP($B138,ma!$A:$C,3,0)</f>
        <v>2400000</v>
      </c>
      <c r="O138" s="208">
        <f t="shared" si="0"/>
        <v>2400000</v>
      </c>
      <c r="P138" s="208">
        <f t="shared" si="10"/>
        <v>240000</v>
      </c>
      <c r="Q138" s="209"/>
      <c r="R138" s="209"/>
      <c r="S138" s="209"/>
      <c r="T138" s="209"/>
      <c r="U138" s="209"/>
      <c r="V138" s="210"/>
      <c r="W138" s="210"/>
      <c r="X138" s="210"/>
      <c r="Y138" s="210"/>
      <c r="Z138" s="210"/>
      <c r="AA138" s="210"/>
      <c r="AB138" s="210"/>
    </row>
    <row r="139" spans="1:28" ht="16">
      <c r="A139" s="190">
        <f t="shared" si="7"/>
        <v>133</v>
      </c>
      <c r="B139" s="191" t="s">
        <v>2095</v>
      </c>
      <c r="C139" s="191" t="s">
        <v>2100</v>
      </c>
      <c r="D139" s="192">
        <v>46191</v>
      </c>
      <c r="E139" s="193" t="str">
        <f>VLOOKUP($C139,xe!$A:$B,2,0)</f>
        <v>50E-648.73</v>
      </c>
      <c r="F139" s="194" t="str">
        <f>VLOOKUP($B139,ma!$A:$B,2,0)</f>
        <v>NAIC -UNI</v>
      </c>
      <c r="G139" s="195"/>
      <c r="H139" s="195"/>
      <c r="I139" s="196"/>
      <c r="J139" s="195"/>
      <c r="K139" s="196"/>
      <c r="L139" s="195"/>
      <c r="M139" s="197">
        <v>1</v>
      </c>
      <c r="N139" s="198">
        <f>VLOOKUP($B139,ma!$A:$C,3,0)</f>
        <v>1800000</v>
      </c>
      <c r="O139" s="198">
        <f t="shared" si="0"/>
        <v>1800000</v>
      </c>
      <c r="P139" s="198">
        <f t="shared" si="10"/>
        <v>180000</v>
      </c>
      <c r="Q139" s="177"/>
      <c r="R139" s="177"/>
      <c r="S139" s="177"/>
      <c r="T139" s="177"/>
      <c r="U139" s="177"/>
      <c r="V139" s="22"/>
      <c r="W139" s="22"/>
      <c r="X139" s="22"/>
      <c r="Y139" s="22"/>
      <c r="Z139" s="22"/>
      <c r="AA139" s="22"/>
      <c r="AB139" s="22"/>
    </row>
    <row r="140" spans="1:28" ht="16">
      <c r="A140" s="190">
        <f t="shared" si="7"/>
        <v>134</v>
      </c>
      <c r="B140" s="191" t="s">
        <v>2103</v>
      </c>
      <c r="C140" s="191" t="s">
        <v>2100</v>
      </c>
      <c r="D140" s="192">
        <v>46191</v>
      </c>
      <c r="E140" s="193" t="str">
        <f>VLOOKUP($C140,xe!$A:$B,2,0)</f>
        <v>50E-648.73</v>
      </c>
      <c r="F140" s="194" t="str">
        <f>VLOOKUP($B140,ma!$A:$B,2,0)</f>
        <v>LONG KHÁNH XÁ</v>
      </c>
      <c r="G140" s="195"/>
      <c r="H140" s="195"/>
      <c r="I140" s="196"/>
      <c r="J140" s="195"/>
      <c r="K140" s="196"/>
      <c r="L140" s="195"/>
      <c r="M140" s="197"/>
      <c r="N140" s="198">
        <f>VLOOKUP($B140,ma!$A:$C,3,0)</f>
        <v>244000</v>
      </c>
      <c r="O140" s="198">
        <f t="shared" si="0"/>
        <v>0</v>
      </c>
      <c r="P140" s="198">
        <f t="shared" si="10"/>
        <v>0</v>
      </c>
      <c r="Q140" s="209"/>
      <c r="R140" s="209"/>
      <c r="S140" s="209"/>
      <c r="T140" s="209"/>
      <c r="U140" s="209"/>
      <c r="V140" s="210"/>
      <c r="W140" s="210"/>
      <c r="X140" s="210"/>
      <c r="Y140" s="210"/>
      <c r="Z140" s="210"/>
      <c r="AA140" s="210"/>
      <c r="AB140" s="210"/>
    </row>
    <row r="141" spans="1:28" ht="16">
      <c r="A141" s="190">
        <f t="shared" si="7"/>
        <v>135</v>
      </c>
      <c r="B141" s="191" t="s">
        <v>2094</v>
      </c>
      <c r="C141" s="191" t="s">
        <v>2089</v>
      </c>
      <c r="D141" s="192">
        <v>46191</v>
      </c>
      <c r="E141" s="199" t="str">
        <f>VLOOKUP($C141,xe!$A:$B,2,0)</f>
        <v>50E-654.34</v>
      </c>
      <c r="F141" s="194" t="str">
        <f>VLOOKUP($B141,ma!$A:$B,2,0)</f>
        <v>NDFC - NAIC BẾN LỨC</v>
      </c>
      <c r="G141" s="195"/>
      <c r="H141" s="195"/>
      <c r="I141" s="196"/>
      <c r="J141" s="195"/>
      <c r="K141" s="196"/>
      <c r="L141" s="195"/>
      <c r="M141" s="197">
        <v>1</v>
      </c>
      <c r="N141" s="198">
        <f>VLOOKUP($B141,ma!$A:$C,3,0)</f>
        <v>2400000</v>
      </c>
      <c r="O141" s="198">
        <f t="shared" si="0"/>
        <v>2400000</v>
      </c>
      <c r="P141" s="198">
        <f t="shared" si="10"/>
        <v>240000</v>
      </c>
      <c r="Q141" s="177"/>
      <c r="R141" s="177"/>
      <c r="S141" s="177"/>
      <c r="T141" s="177"/>
      <c r="U141" s="177"/>
      <c r="V141" s="22"/>
      <c r="W141" s="22"/>
      <c r="X141" s="22"/>
      <c r="Y141" s="22"/>
      <c r="Z141" s="22"/>
      <c r="AA141" s="22"/>
      <c r="AB141" s="22"/>
    </row>
    <row r="142" spans="1:28" ht="16">
      <c r="A142" s="190">
        <f t="shared" si="7"/>
        <v>136</v>
      </c>
      <c r="B142" s="191" t="s">
        <v>2095</v>
      </c>
      <c r="C142" s="191" t="s">
        <v>2089</v>
      </c>
      <c r="D142" s="192">
        <v>46191</v>
      </c>
      <c r="E142" s="199" t="str">
        <f>VLOOKUP($C142,xe!$A:$B,2,0)</f>
        <v>50E-654.34</v>
      </c>
      <c r="F142" s="194" t="str">
        <f>VLOOKUP($B142,ma!$A:$B,2,0)</f>
        <v>NAIC -UNI</v>
      </c>
      <c r="G142" s="195"/>
      <c r="H142" s="195"/>
      <c r="I142" s="196"/>
      <c r="J142" s="195"/>
      <c r="K142" s="196"/>
      <c r="L142" s="195"/>
      <c r="M142" s="197">
        <v>1</v>
      </c>
      <c r="N142" s="198">
        <f>VLOOKUP($B142,ma!$A:$C,3,0)</f>
        <v>1800000</v>
      </c>
      <c r="O142" s="198">
        <f t="shared" si="0"/>
        <v>1800000</v>
      </c>
      <c r="P142" s="198">
        <f t="shared" si="10"/>
        <v>180000</v>
      </c>
      <c r="Q142" s="177"/>
      <c r="R142" s="177"/>
      <c r="S142" s="177"/>
      <c r="T142" s="177"/>
      <c r="U142" s="177"/>
      <c r="V142" s="22"/>
      <c r="W142" s="22"/>
      <c r="X142" s="22"/>
      <c r="Y142" s="22"/>
      <c r="Z142" s="22"/>
      <c r="AA142" s="22"/>
      <c r="AB142" s="22"/>
    </row>
    <row r="143" spans="1:28" ht="16">
      <c r="A143" s="190">
        <f t="shared" si="7"/>
        <v>137</v>
      </c>
      <c r="B143" s="191" t="s">
        <v>2096</v>
      </c>
      <c r="C143" s="191" t="s">
        <v>2097</v>
      </c>
      <c r="D143" s="192">
        <v>46191</v>
      </c>
      <c r="E143" s="199" t="str">
        <f>VLOOKUP($C143,xe!$A:$B,2,0)</f>
        <v>50E-324,01</v>
      </c>
      <c r="F143" s="194" t="str">
        <f>VLOOKUP($B143,ma!$A:$B,2,0)</f>
        <v>TUẤN LỘC Q7 PALLET</v>
      </c>
      <c r="G143" s="195"/>
      <c r="H143" s="195"/>
      <c r="I143" s="196"/>
      <c r="J143" s="195"/>
      <c r="K143" s="196"/>
      <c r="L143" s="195"/>
      <c r="M143" s="197"/>
      <c r="N143" s="198">
        <f>VLOOKUP($B143,ma!$A:$C,3,0)</f>
        <v>200000</v>
      </c>
      <c r="O143" s="198">
        <f t="shared" si="0"/>
        <v>0</v>
      </c>
      <c r="P143" s="198">
        <f t="shared" si="10"/>
        <v>0</v>
      </c>
      <c r="Q143" s="177"/>
      <c r="R143" s="177"/>
      <c r="S143" s="177"/>
      <c r="T143" s="177"/>
      <c r="U143" s="177"/>
      <c r="V143" s="22"/>
      <c r="W143" s="22"/>
      <c r="X143" s="22"/>
      <c r="Y143" s="22"/>
      <c r="Z143" s="22"/>
      <c r="AA143" s="22"/>
      <c r="AB143" s="22"/>
    </row>
    <row r="144" spans="1:28" ht="16">
      <c r="A144" s="190">
        <f t="shared" si="7"/>
        <v>138</v>
      </c>
      <c r="B144" s="191" t="s">
        <v>2098</v>
      </c>
      <c r="C144" s="191" t="s">
        <v>2097</v>
      </c>
      <c r="D144" s="192">
        <v>46191</v>
      </c>
      <c r="E144" s="199" t="str">
        <f>VLOOKUP($C144,xe!$A:$B,2,0)</f>
        <v>50E-324,01</v>
      </c>
      <c r="F144" s="194" t="str">
        <f>VLOOKUP($B144,ma!$A:$B,2,0)</f>
        <v>QUẬN 8 PALLET</v>
      </c>
      <c r="G144" s="195"/>
      <c r="H144" s="195"/>
      <c r="I144" s="196"/>
      <c r="J144" s="195"/>
      <c r="K144" s="196"/>
      <c r="L144" s="195"/>
      <c r="M144" s="197"/>
      <c r="N144" s="198">
        <f>VLOOKUP($B144,ma!$A:$C,3,0)</f>
        <v>200000</v>
      </c>
      <c r="O144" s="198">
        <f t="shared" si="0"/>
        <v>0</v>
      </c>
      <c r="P144" s="198">
        <f t="shared" si="10"/>
        <v>0</v>
      </c>
      <c r="Q144" s="177"/>
      <c r="R144" s="177"/>
      <c r="S144" s="177"/>
      <c r="T144" s="177"/>
      <c r="U144" s="177"/>
      <c r="V144" s="22"/>
      <c r="W144" s="22"/>
      <c r="X144" s="22"/>
      <c r="Y144" s="22"/>
      <c r="Z144" s="22"/>
      <c r="AA144" s="22"/>
      <c r="AB144" s="22"/>
    </row>
    <row r="145" spans="1:28" ht="16">
      <c r="A145" s="190">
        <f t="shared" si="7"/>
        <v>139</v>
      </c>
      <c r="B145" s="191" t="s">
        <v>2104</v>
      </c>
      <c r="C145" s="191" t="s">
        <v>38</v>
      </c>
      <c r="D145" s="192">
        <v>46191</v>
      </c>
      <c r="E145" s="199" t="str">
        <f>VLOOKUP($C145,xe!$A:$B,2,0)</f>
        <v>50H-87055</v>
      </c>
      <c r="F145" s="194" t="str">
        <f>VLOOKUP($B145,ma!$A:$B,2,0)</f>
        <v>JOLIBEE XE LỚN</v>
      </c>
      <c r="G145" s="195"/>
      <c r="H145" s="195"/>
      <c r="I145" s="196"/>
      <c r="J145" s="195"/>
      <c r="K145" s="196"/>
      <c r="L145" s="195"/>
      <c r="M145" s="197"/>
      <c r="N145" s="198">
        <f>VLOOKUP($B145,ma!$A:$C,3,0)</f>
        <v>200000</v>
      </c>
      <c r="O145" s="198">
        <f t="shared" si="0"/>
        <v>0</v>
      </c>
      <c r="P145" s="198">
        <f t="shared" si="10"/>
        <v>0</v>
      </c>
      <c r="Q145" s="177"/>
      <c r="R145" s="177"/>
      <c r="S145" s="177"/>
      <c r="T145" s="177"/>
      <c r="U145" s="177"/>
      <c r="V145" s="22"/>
      <c r="W145" s="22"/>
      <c r="X145" s="22"/>
      <c r="Y145" s="22"/>
      <c r="Z145" s="22"/>
      <c r="AA145" s="22"/>
      <c r="AB145" s="22"/>
    </row>
    <row r="146" spans="1:28" ht="16">
      <c r="A146" s="190">
        <f t="shared" si="7"/>
        <v>140</v>
      </c>
      <c r="B146" s="191" t="s">
        <v>166</v>
      </c>
      <c r="C146" s="191" t="s">
        <v>40</v>
      </c>
      <c r="D146" s="192">
        <v>46191</v>
      </c>
      <c r="E146" s="199" t="str">
        <f>VLOOKUP($C146,xe!$A:$B,2,0)</f>
        <v>50E-757,74</v>
      </c>
      <c r="F146" s="194" t="str">
        <f>VLOOKUP($B146,ma!$A:$B,2,0)</f>
        <v>BÌNH TÂY</v>
      </c>
      <c r="G146" s="195"/>
      <c r="H146" s="195"/>
      <c r="I146" s="196"/>
      <c r="J146" s="195"/>
      <c r="K146" s="196"/>
      <c r="L146" s="195"/>
      <c r="M146" s="197"/>
      <c r="N146" s="198">
        <f>VLOOKUP($B146,ma!$A:$C,3,0)</f>
        <v>220000</v>
      </c>
      <c r="O146" s="198">
        <f t="shared" si="0"/>
        <v>0</v>
      </c>
      <c r="P146" s="198">
        <f t="shared" si="10"/>
        <v>0</v>
      </c>
      <c r="Q146" s="177"/>
      <c r="R146" s="177"/>
      <c r="S146" s="177"/>
      <c r="T146" s="177"/>
      <c r="U146" s="177"/>
      <c r="V146" s="22"/>
      <c r="W146" s="22"/>
      <c r="X146" s="22"/>
      <c r="Y146" s="22"/>
      <c r="Z146" s="22"/>
      <c r="AA146" s="22"/>
      <c r="AB146" s="22"/>
    </row>
    <row r="147" spans="1:28" ht="16">
      <c r="A147" s="190">
        <f t="shared" si="7"/>
        <v>141</v>
      </c>
      <c r="B147" s="191" t="s">
        <v>103</v>
      </c>
      <c r="C147" s="191" t="s">
        <v>42</v>
      </c>
      <c r="D147" s="192">
        <v>46191</v>
      </c>
      <c r="E147" s="199" t="str">
        <f>VLOOKUP($C147,xe!$A:$B,2,0)</f>
        <v>50H-75206</v>
      </c>
      <c r="F147" s="194" t="str">
        <f>VLOOKUP($B147,ma!$A:$B,2,0)</f>
        <v>PHẠM ANH QUẬN 6 PALLET</v>
      </c>
      <c r="G147" s="195"/>
      <c r="H147" s="195"/>
      <c r="I147" s="196"/>
      <c r="J147" s="195"/>
      <c r="K147" s="196"/>
      <c r="L147" s="195"/>
      <c r="M147" s="197"/>
      <c r="N147" s="198">
        <f>VLOOKUP($B147,ma!$A:$C,3,0)</f>
        <v>200000</v>
      </c>
      <c r="O147" s="198">
        <f t="shared" si="0"/>
        <v>0</v>
      </c>
      <c r="P147" s="198">
        <f t="shared" si="10"/>
        <v>0</v>
      </c>
      <c r="Q147" s="177"/>
      <c r="R147" s="177"/>
      <c r="S147" s="177"/>
      <c r="T147" s="177"/>
      <c r="U147" s="177"/>
      <c r="V147" s="22"/>
      <c r="W147" s="22"/>
      <c r="X147" s="22"/>
      <c r="Y147" s="22"/>
      <c r="Z147" s="22"/>
      <c r="AA147" s="22"/>
      <c r="AB147" s="22"/>
    </row>
    <row r="148" spans="1:28" ht="16">
      <c r="A148" s="190">
        <f t="shared" si="7"/>
        <v>142</v>
      </c>
      <c r="B148" s="191" t="s">
        <v>107</v>
      </c>
      <c r="C148" s="191" t="s">
        <v>42</v>
      </c>
      <c r="D148" s="192">
        <v>46191</v>
      </c>
      <c r="E148" s="199" t="str">
        <f>VLOOKUP($C148,xe!$A:$B,2,0)</f>
        <v>50H-75206</v>
      </c>
      <c r="F148" s="194" t="str">
        <f>VLOOKUP($B148,ma!$A:$B,2,0)</f>
        <v>QUẬN 8 PALLET</v>
      </c>
      <c r="G148" s="195"/>
      <c r="H148" s="195"/>
      <c r="I148" s="196"/>
      <c r="J148" s="195"/>
      <c r="K148" s="196"/>
      <c r="L148" s="195"/>
      <c r="M148" s="197"/>
      <c r="N148" s="198">
        <f>VLOOKUP($B148,ma!$A:$C,3,0)</f>
        <v>200000</v>
      </c>
      <c r="O148" s="198">
        <f t="shared" si="0"/>
        <v>0</v>
      </c>
      <c r="P148" s="198">
        <f t="shared" si="10"/>
        <v>0</v>
      </c>
      <c r="Q148" s="177"/>
      <c r="R148" s="177"/>
      <c r="S148" s="177"/>
      <c r="T148" s="177"/>
      <c r="U148" s="177"/>
      <c r="V148" s="22"/>
      <c r="W148" s="22"/>
      <c r="X148" s="22"/>
      <c r="Y148" s="22"/>
      <c r="Z148" s="22"/>
      <c r="AA148" s="22"/>
      <c r="AB148" s="22"/>
    </row>
    <row r="149" spans="1:28" ht="16">
      <c r="A149" s="190">
        <f t="shared" si="7"/>
        <v>143</v>
      </c>
      <c r="B149" s="191" t="s">
        <v>136</v>
      </c>
      <c r="C149" s="191" t="s">
        <v>44</v>
      </c>
      <c r="D149" s="192">
        <v>46191</v>
      </c>
      <c r="E149" s="199" t="str">
        <f>VLOOKUP($C149,xe!$A:$B,2,0)</f>
        <v>50H-66347</v>
      </c>
      <c r="F149" s="194" t="str">
        <f>VLOOKUP($B149,ma!$A:$B,2,0)</f>
        <v>TUẤN LỘC Q7 PALLET</v>
      </c>
      <c r="G149" s="195"/>
      <c r="H149" s="195"/>
      <c r="I149" s="196"/>
      <c r="J149" s="195"/>
      <c r="K149" s="196"/>
      <c r="L149" s="195"/>
      <c r="M149" s="197"/>
      <c r="N149" s="198">
        <f>VLOOKUP($B149,ma!$A:$C,3,0)</f>
        <v>200000</v>
      </c>
      <c r="O149" s="198">
        <f t="shared" si="0"/>
        <v>0</v>
      </c>
      <c r="P149" s="198">
        <f t="shared" si="10"/>
        <v>0</v>
      </c>
      <c r="Q149" s="177"/>
      <c r="R149" s="177"/>
      <c r="S149" s="177"/>
      <c r="T149" s="177"/>
      <c r="U149" s="177"/>
      <c r="V149" s="22"/>
      <c r="W149" s="22"/>
      <c r="X149" s="22"/>
      <c r="Y149" s="22"/>
      <c r="Z149" s="22"/>
      <c r="AA149" s="22"/>
      <c r="AB149" s="22"/>
    </row>
    <row r="150" spans="1:28" ht="16">
      <c r="A150" s="200">
        <f t="shared" si="7"/>
        <v>144</v>
      </c>
      <c r="B150" s="201" t="s">
        <v>136</v>
      </c>
      <c r="C150" s="201" t="s">
        <v>32</v>
      </c>
      <c r="D150" s="202">
        <v>46192</v>
      </c>
      <c r="E150" s="203" t="str">
        <f>VLOOKUP($C150,xe!$A:$B,2,0)</f>
        <v>50E-648.73</v>
      </c>
      <c r="F150" s="204" t="str">
        <f>VLOOKUP($B150,ma!$A:$B,2,0)</f>
        <v>TUẤN LỘC Q7 PALLET</v>
      </c>
      <c r="G150" s="205"/>
      <c r="H150" s="205"/>
      <c r="I150" s="206"/>
      <c r="J150" s="205"/>
      <c r="K150" s="206"/>
      <c r="L150" s="205"/>
      <c r="M150" s="207"/>
      <c r="N150" s="208">
        <f>VLOOKUP($B150,ma!$A:$C,3,0)</f>
        <v>200000</v>
      </c>
      <c r="O150" s="208">
        <f t="shared" si="0"/>
        <v>0</v>
      </c>
      <c r="P150" s="208">
        <f t="shared" si="10"/>
        <v>0</v>
      </c>
      <c r="Q150" s="209"/>
      <c r="R150" s="209"/>
      <c r="S150" s="209"/>
      <c r="T150" s="209"/>
      <c r="U150" s="209"/>
      <c r="V150" s="210"/>
      <c r="W150" s="210"/>
      <c r="X150" s="210"/>
      <c r="Y150" s="210"/>
      <c r="Z150" s="210"/>
      <c r="AA150" s="210"/>
      <c r="AB150" s="210"/>
    </row>
    <row r="151" spans="1:28" ht="16">
      <c r="A151" s="190">
        <f t="shared" si="7"/>
        <v>145</v>
      </c>
      <c r="B151" s="191" t="s">
        <v>103</v>
      </c>
      <c r="C151" s="191" t="s">
        <v>2089</v>
      </c>
      <c r="D151" s="192">
        <v>46192</v>
      </c>
      <c r="E151" s="199" t="str">
        <f>VLOOKUP($C151,xe!$A:$B,2,0)</f>
        <v>50E-654.34</v>
      </c>
      <c r="F151" s="194" t="str">
        <f>VLOOKUP($B151,ma!$A:$B,2,0)</f>
        <v>PHẠM ANH QUẬN 6 PALLET</v>
      </c>
      <c r="G151" s="195"/>
      <c r="H151" s="195"/>
      <c r="I151" s="196"/>
      <c r="J151" s="195"/>
      <c r="K151" s="196"/>
      <c r="L151" s="195"/>
      <c r="M151" s="197"/>
      <c r="N151" s="198">
        <f>VLOOKUP($B151,ma!$A:$C,3,0)</f>
        <v>200000</v>
      </c>
      <c r="O151" s="198">
        <f t="shared" si="0"/>
        <v>0</v>
      </c>
      <c r="P151" s="198">
        <f t="shared" si="10"/>
        <v>0</v>
      </c>
      <c r="Q151" s="209"/>
      <c r="R151" s="209"/>
      <c r="S151" s="209"/>
      <c r="T151" s="209"/>
      <c r="U151" s="209"/>
      <c r="V151" s="210"/>
      <c r="W151" s="210"/>
      <c r="X151" s="210"/>
      <c r="Y151" s="210"/>
      <c r="Z151" s="210"/>
      <c r="AA151" s="210"/>
      <c r="AB151" s="210"/>
    </row>
    <row r="152" spans="1:28" ht="16">
      <c r="A152" s="190">
        <f t="shared" si="7"/>
        <v>146</v>
      </c>
      <c r="B152" s="191" t="s">
        <v>107</v>
      </c>
      <c r="C152" s="191" t="s">
        <v>2089</v>
      </c>
      <c r="D152" s="192">
        <v>46192</v>
      </c>
      <c r="E152" s="199" t="str">
        <f>VLOOKUP($C152,xe!$A:$B,2,0)</f>
        <v>50E-654.34</v>
      </c>
      <c r="F152" s="194" t="str">
        <f>VLOOKUP($B152,ma!$A:$B,2,0)</f>
        <v>QUẬN 8 PALLET</v>
      </c>
      <c r="G152" s="195"/>
      <c r="H152" s="195"/>
      <c r="I152" s="196"/>
      <c r="J152" s="195"/>
      <c r="K152" s="196"/>
      <c r="L152" s="195"/>
      <c r="M152" s="197"/>
      <c r="N152" s="198">
        <f>VLOOKUP($B152,ma!$A:$C,3,0)</f>
        <v>200000</v>
      </c>
      <c r="O152" s="198">
        <f t="shared" si="0"/>
        <v>0</v>
      </c>
      <c r="P152" s="198">
        <f t="shared" si="10"/>
        <v>0</v>
      </c>
      <c r="Q152" s="177"/>
      <c r="R152" s="177"/>
      <c r="S152" s="177"/>
      <c r="T152" s="177"/>
      <c r="U152" s="177"/>
      <c r="V152" s="22"/>
      <c r="W152" s="22"/>
      <c r="X152" s="22"/>
      <c r="Y152" s="22"/>
      <c r="Z152" s="22"/>
      <c r="AA152" s="22"/>
      <c r="AB152" s="22"/>
    </row>
    <row r="153" spans="1:28" ht="16">
      <c r="A153" s="190">
        <f t="shared" si="7"/>
        <v>147</v>
      </c>
      <c r="B153" s="191" t="s">
        <v>136</v>
      </c>
      <c r="C153" s="191" t="s">
        <v>2097</v>
      </c>
      <c r="D153" s="192">
        <v>46192</v>
      </c>
      <c r="E153" s="199" t="str">
        <f>VLOOKUP($C153,xe!$A:$B,2,0)</f>
        <v>50E-324,01</v>
      </c>
      <c r="F153" s="194" t="str">
        <f>VLOOKUP($B153,ma!$A:$B,2,0)</f>
        <v>TUẤN LỘC Q7 PALLET</v>
      </c>
      <c r="G153" s="195"/>
      <c r="H153" s="195"/>
      <c r="I153" s="196"/>
      <c r="J153" s="195"/>
      <c r="K153" s="196"/>
      <c r="L153" s="195"/>
      <c r="M153" s="197"/>
      <c r="N153" s="198">
        <f>VLOOKUP($B153,ma!$A:$C,3,0)</f>
        <v>200000</v>
      </c>
      <c r="O153" s="198">
        <f t="shared" si="0"/>
        <v>0</v>
      </c>
      <c r="P153" s="198">
        <f t="shared" si="10"/>
        <v>0</v>
      </c>
      <c r="Q153" s="177"/>
      <c r="R153" s="177"/>
      <c r="S153" s="177"/>
      <c r="T153" s="177"/>
      <c r="U153" s="177"/>
      <c r="V153" s="22"/>
      <c r="W153" s="22"/>
      <c r="X153" s="22"/>
      <c r="Y153" s="22"/>
      <c r="Z153" s="22"/>
      <c r="AA153" s="22"/>
      <c r="AB153" s="22"/>
    </row>
    <row r="154" spans="1:28" ht="16">
      <c r="A154" s="190">
        <f t="shared" si="7"/>
        <v>148</v>
      </c>
      <c r="B154" s="191" t="s">
        <v>107</v>
      </c>
      <c r="C154" s="191" t="s">
        <v>2097</v>
      </c>
      <c r="D154" s="192">
        <v>46192</v>
      </c>
      <c r="E154" s="199" t="str">
        <f>VLOOKUP($C154,xe!$A:$B,2,0)</f>
        <v>50E-324,01</v>
      </c>
      <c r="F154" s="194" t="str">
        <f>VLOOKUP($B154,ma!$A:$B,2,0)</f>
        <v>QUẬN 8 PALLET</v>
      </c>
      <c r="G154" s="195"/>
      <c r="H154" s="195"/>
      <c r="I154" s="196"/>
      <c r="J154" s="195"/>
      <c r="K154" s="196"/>
      <c r="L154" s="195"/>
      <c r="M154" s="197"/>
      <c r="N154" s="198">
        <f>VLOOKUP($B154,ma!$A:$C,3,0)</f>
        <v>200000</v>
      </c>
      <c r="O154" s="198">
        <f t="shared" si="0"/>
        <v>0</v>
      </c>
      <c r="P154" s="198">
        <f t="shared" si="10"/>
        <v>0</v>
      </c>
      <c r="Q154" s="177"/>
      <c r="R154" s="177"/>
      <c r="S154" s="177"/>
      <c r="T154" s="177"/>
      <c r="U154" s="177"/>
      <c r="V154" s="22"/>
      <c r="W154" s="22"/>
      <c r="X154" s="22"/>
      <c r="Y154" s="22"/>
      <c r="Z154" s="22"/>
      <c r="AA154" s="22"/>
      <c r="AB154" s="22"/>
    </row>
    <row r="155" spans="1:28" ht="16">
      <c r="A155" s="190">
        <f t="shared" si="7"/>
        <v>149</v>
      </c>
      <c r="B155" s="191" t="s">
        <v>111</v>
      </c>
      <c r="C155" s="191" t="s">
        <v>2097</v>
      </c>
      <c r="D155" s="192">
        <v>46192</v>
      </c>
      <c r="E155" s="199" t="str">
        <f>VLOOKUP($C155,xe!$A:$B,2,0)</f>
        <v>50E-324,01</v>
      </c>
      <c r="F155" s="194" t="str">
        <f>VLOOKUP($B155,ma!$A:$B,2,0)</f>
        <v>QUẬN 9 PALLET</v>
      </c>
      <c r="G155" s="195"/>
      <c r="H155" s="195"/>
      <c r="I155" s="196"/>
      <c r="J155" s="195"/>
      <c r="K155" s="196"/>
      <c r="L155" s="195"/>
      <c r="M155" s="197"/>
      <c r="N155" s="198">
        <f>VLOOKUP($B155,ma!$A:$C,3,0)</f>
        <v>200000</v>
      </c>
      <c r="O155" s="198">
        <f t="shared" si="0"/>
        <v>0</v>
      </c>
      <c r="P155" s="198">
        <f t="shared" si="10"/>
        <v>0</v>
      </c>
      <c r="Q155" s="177"/>
      <c r="R155" s="177"/>
      <c r="S155" s="177"/>
      <c r="T155" s="177"/>
      <c r="U155" s="177"/>
      <c r="V155" s="22"/>
      <c r="W155" s="22"/>
      <c r="X155" s="22"/>
      <c r="Y155" s="22"/>
      <c r="Z155" s="22"/>
      <c r="AA155" s="22"/>
      <c r="AB155" s="22"/>
    </row>
    <row r="156" spans="1:28" ht="16">
      <c r="A156" s="190">
        <f t="shared" si="7"/>
        <v>150</v>
      </c>
      <c r="B156" s="191" t="s">
        <v>194</v>
      </c>
      <c r="C156" s="191" t="s">
        <v>38</v>
      </c>
      <c r="D156" s="192">
        <v>46192</v>
      </c>
      <c r="E156" s="199" t="str">
        <f>VLOOKUP($C156,xe!$A:$B,2,0)</f>
        <v>50H-87055</v>
      </c>
      <c r="F156" s="194" t="str">
        <f>VLOOKUP($B156,ma!$A:$B,2,0)</f>
        <v>NDFC - NAIC BẾN LỨC</v>
      </c>
      <c r="G156" s="195"/>
      <c r="H156" s="195"/>
      <c r="I156" s="196"/>
      <c r="J156" s="195"/>
      <c r="K156" s="196"/>
      <c r="L156" s="195"/>
      <c r="M156" s="197">
        <v>1</v>
      </c>
      <c r="N156" s="198">
        <f>VLOOKUP($B156,ma!$A:$C,3,0)</f>
        <v>2400000</v>
      </c>
      <c r="O156" s="198">
        <f t="shared" si="0"/>
        <v>2400000</v>
      </c>
      <c r="P156" s="198">
        <f t="shared" si="10"/>
        <v>240000</v>
      </c>
      <c r="Q156" s="177"/>
      <c r="R156" s="177"/>
      <c r="S156" s="177"/>
      <c r="T156" s="177"/>
      <c r="U156" s="177"/>
      <c r="V156" s="22"/>
      <c r="W156" s="22"/>
      <c r="X156" s="22"/>
      <c r="Y156" s="22"/>
      <c r="Z156" s="22"/>
      <c r="AA156" s="22"/>
      <c r="AB156" s="22"/>
    </row>
    <row r="157" spans="1:28" ht="16">
      <c r="A157" s="190">
        <f t="shared" si="7"/>
        <v>151</v>
      </c>
      <c r="B157" s="191" t="s">
        <v>196</v>
      </c>
      <c r="C157" s="191" t="s">
        <v>38</v>
      </c>
      <c r="D157" s="192">
        <v>46192</v>
      </c>
      <c r="E157" s="199" t="str">
        <f>VLOOKUP($C157,xe!$A:$B,2,0)</f>
        <v>50H-87055</v>
      </c>
      <c r="F157" s="194" t="str">
        <f>VLOOKUP($B157,ma!$A:$B,2,0)</f>
        <v>NAIC -UNI</v>
      </c>
      <c r="G157" s="195"/>
      <c r="H157" s="195"/>
      <c r="I157" s="196"/>
      <c r="J157" s="195"/>
      <c r="K157" s="196"/>
      <c r="L157" s="195"/>
      <c r="M157" s="197">
        <v>1</v>
      </c>
      <c r="N157" s="198">
        <f>VLOOKUP($B157,ma!$A:$C,3,0)</f>
        <v>1800000</v>
      </c>
      <c r="O157" s="198">
        <f t="shared" si="0"/>
        <v>1800000</v>
      </c>
      <c r="P157" s="198">
        <f t="shared" si="10"/>
        <v>180000</v>
      </c>
      <c r="Q157" s="177"/>
      <c r="R157" s="177"/>
      <c r="S157" s="177"/>
      <c r="T157" s="177"/>
      <c r="U157" s="177"/>
      <c r="V157" s="22"/>
      <c r="W157" s="22"/>
      <c r="X157" s="22"/>
      <c r="Y157" s="22"/>
      <c r="Z157" s="22"/>
      <c r="AA157" s="22"/>
      <c r="AB157" s="22"/>
    </row>
    <row r="158" spans="1:28" ht="16">
      <c r="A158" s="190">
        <f t="shared" si="7"/>
        <v>152</v>
      </c>
      <c r="B158" s="191" t="s">
        <v>2090</v>
      </c>
      <c r="C158" s="191" t="s">
        <v>38</v>
      </c>
      <c r="D158" s="192">
        <v>46192</v>
      </c>
      <c r="E158" s="199" t="str">
        <f>VLOOKUP($C158,xe!$A:$B,2,0)</f>
        <v>50H-87055</v>
      </c>
      <c r="F158" s="194" t="str">
        <f>VLOOKUP($B158,ma!$A:$B,2,0)</f>
        <v>CALOFIC - UNI ( xe lớn )</v>
      </c>
      <c r="G158" s="195"/>
      <c r="H158" s="195"/>
      <c r="I158" s="196"/>
      <c r="J158" s="195"/>
      <c r="K158" s="196"/>
      <c r="L158" s="195"/>
      <c r="M158" s="197">
        <v>1</v>
      </c>
      <c r="N158" s="198">
        <f>VLOOKUP($B158,ma!$A:$C,3,0)</f>
        <v>400000</v>
      </c>
      <c r="O158" s="198">
        <f t="shared" si="0"/>
        <v>400000</v>
      </c>
      <c r="P158" s="198">
        <v>100000</v>
      </c>
      <c r="Q158" s="177"/>
      <c r="R158" s="177"/>
      <c r="S158" s="177"/>
      <c r="T158" s="177"/>
      <c r="U158" s="177"/>
      <c r="V158" s="22"/>
      <c r="W158" s="22"/>
      <c r="X158" s="22"/>
      <c r="Y158" s="22"/>
      <c r="Z158" s="22"/>
      <c r="AA158" s="22"/>
      <c r="AB158" s="22"/>
    </row>
    <row r="159" spans="1:28" ht="16">
      <c r="A159" s="190">
        <f t="shared" si="7"/>
        <v>153</v>
      </c>
      <c r="B159" s="191" t="s">
        <v>186</v>
      </c>
      <c r="C159" s="191" t="s">
        <v>40</v>
      </c>
      <c r="D159" s="192">
        <v>46192</v>
      </c>
      <c r="E159" s="199" t="str">
        <f>VLOOKUP($C159,xe!$A:$B,2,0)</f>
        <v>50E-757,74</v>
      </c>
      <c r="F159" s="194" t="str">
        <f>VLOOKUP($B159,ma!$A:$B,2,0)</f>
        <v>PHÚ QUỐC</v>
      </c>
      <c r="G159" s="195"/>
      <c r="H159" s="195"/>
      <c r="I159" s="196"/>
      <c r="J159" s="195"/>
      <c r="K159" s="196"/>
      <c r="L159" s="195"/>
      <c r="M159" s="197"/>
      <c r="N159" s="198">
        <f>VLOOKUP($B159,ma!$A:$C,3,0)</f>
        <v>0</v>
      </c>
      <c r="O159" s="198">
        <f t="shared" si="0"/>
        <v>0</v>
      </c>
      <c r="P159" s="198">
        <f t="shared" ref="P159:P252" si="11">O159*10%</f>
        <v>0</v>
      </c>
      <c r="Q159" s="177"/>
      <c r="R159" s="177"/>
      <c r="S159" s="177"/>
      <c r="T159" s="177"/>
      <c r="U159" s="177"/>
      <c r="V159" s="22"/>
      <c r="W159" s="22"/>
      <c r="X159" s="22"/>
      <c r="Y159" s="22"/>
      <c r="Z159" s="22"/>
      <c r="AA159" s="22"/>
      <c r="AB159" s="22"/>
    </row>
    <row r="160" spans="1:28" ht="16">
      <c r="A160" s="190">
        <f t="shared" si="7"/>
        <v>154</v>
      </c>
      <c r="B160" s="191" t="s">
        <v>194</v>
      </c>
      <c r="C160" s="191" t="s">
        <v>42</v>
      </c>
      <c r="D160" s="192">
        <v>46192</v>
      </c>
      <c r="E160" s="199" t="str">
        <f>VLOOKUP($C160,xe!$A:$B,2,0)</f>
        <v>50H-75206</v>
      </c>
      <c r="F160" s="194" t="str">
        <f>VLOOKUP($B160,ma!$A:$B,2,0)</f>
        <v>NDFC - NAIC BẾN LỨC</v>
      </c>
      <c r="G160" s="195"/>
      <c r="H160" s="195"/>
      <c r="I160" s="196"/>
      <c r="J160" s="195"/>
      <c r="K160" s="196"/>
      <c r="L160" s="195"/>
      <c r="M160" s="197">
        <v>1</v>
      </c>
      <c r="N160" s="198">
        <f>VLOOKUP($B160,ma!$A:$C,3,0)</f>
        <v>2400000</v>
      </c>
      <c r="O160" s="198">
        <f t="shared" si="0"/>
        <v>2400000</v>
      </c>
      <c r="P160" s="198">
        <f t="shared" si="11"/>
        <v>240000</v>
      </c>
      <c r="Q160" s="177"/>
      <c r="R160" s="177"/>
      <c r="S160" s="177"/>
      <c r="T160" s="177"/>
      <c r="U160" s="177"/>
      <c r="V160" s="22"/>
      <c r="W160" s="22"/>
      <c r="X160" s="22"/>
      <c r="Y160" s="22"/>
      <c r="Z160" s="22"/>
      <c r="AA160" s="22"/>
      <c r="AB160" s="22"/>
    </row>
    <row r="161" spans="1:28" ht="16">
      <c r="A161" s="190">
        <f t="shared" si="7"/>
        <v>155</v>
      </c>
      <c r="B161" s="191" t="s">
        <v>196</v>
      </c>
      <c r="C161" s="191" t="s">
        <v>42</v>
      </c>
      <c r="D161" s="192">
        <v>46192</v>
      </c>
      <c r="E161" s="199" t="str">
        <f>VLOOKUP($C161,xe!$A:$B,2,0)</f>
        <v>50H-75206</v>
      </c>
      <c r="F161" s="194" t="str">
        <f>VLOOKUP($B161,ma!$A:$B,2,0)</f>
        <v>NAIC -UNI</v>
      </c>
      <c r="G161" s="195"/>
      <c r="H161" s="195"/>
      <c r="I161" s="196"/>
      <c r="J161" s="195"/>
      <c r="K161" s="196"/>
      <c r="L161" s="195"/>
      <c r="M161" s="197">
        <v>1</v>
      </c>
      <c r="N161" s="198">
        <f>VLOOKUP($B161,ma!$A:$C,3,0)</f>
        <v>1800000</v>
      </c>
      <c r="O161" s="198">
        <f t="shared" si="0"/>
        <v>1800000</v>
      </c>
      <c r="P161" s="198">
        <f t="shared" si="11"/>
        <v>180000</v>
      </c>
      <c r="Q161" s="177"/>
      <c r="R161" s="177"/>
      <c r="S161" s="177"/>
      <c r="T161" s="177"/>
      <c r="U161" s="177"/>
      <c r="V161" s="22"/>
      <c r="W161" s="22"/>
      <c r="X161" s="22"/>
      <c r="Y161" s="22"/>
      <c r="Z161" s="22"/>
      <c r="AA161" s="22"/>
      <c r="AB161" s="22"/>
    </row>
    <row r="162" spans="1:28" ht="16">
      <c r="A162" s="190">
        <f t="shared" si="7"/>
        <v>156</v>
      </c>
      <c r="B162" s="191" t="s">
        <v>194</v>
      </c>
      <c r="C162" s="191" t="s">
        <v>44</v>
      </c>
      <c r="D162" s="192">
        <v>46192</v>
      </c>
      <c r="E162" s="199" t="str">
        <f>VLOOKUP($C162,xe!$A:$B,2,0)</f>
        <v>50H-66347</v>
      </c>
      <c r="F162" s="194" t="str">
        <f>VLOOKUP($B162,ma!$A:$B,2,0)</f>
        <v>NDFC - NAIC BẾN LỨC</v>
      </c>
      <c r="G162" s="195"/>
      <c r="H162" s="195"/>
      <c r="I162" s="196"/>
      <c r="J162" s="195"/>
      <c r="K162" s="196"/>
      <c r="L162" s="195"/>
      <c r="M162" s="197">
        <v>1</v>
      </c>
      <c r="N162" s="198">
        <f>VLOOKUP($B162,ma!$A:$C,3,0)</f>
        <v>2400000</v>
      </c>
      <c r="O162" s="198">
        <f t="shared" si="0"/>
        <v>2400000</v>
      </c>
      <c r="P162" s="198">
        <f t="shared" si="11"/>
        <v>240000</v>
      </c>
      <c r="Q162" s="177"/>
      <c r="R162" s="177"/>
      <c r="S162" s="177"/>
      <c r="T162" s="177"/>
      <c r="U162" s="177"/>
      <c r="V162" s="22"/>
      <c r="W162" s="22"/>
      <c r="X162" s="22"/>
      <c r="Y162" s="22"/>
      <c r="Z162" s="22"/>
      <c r="AA162" s="22"/>
      <c r="AB162" s="22"/>
    </row>
    <row r="163" spans="1:28" ht="16">
      <c r="A163" s="190">
        <f t="shared" si="7"/>
        <v>157</v>
      </c>
      <c r="B163" s="191" t="s">
        <v>196</v>
      </c>
      <c r="C163" s="191" t="s">
        <v>44</v>
      </c>
      <c r="D163" s="192">
        <v>46192</v>
      </c>
      <c r="E163" s="199" t="str">
        <f>VLOOKUP($C163,xe!$A:$B,2,0)</f>
        <v>50H-66347</v>
      </c>
      <c r="F163" s="194" t="str">
        <f>VLOOKUP($B163,ma!$A:$B,2,0)</f>
        <v>NAIC -UNI</v>
      </c>
      <c r="G163" s="195"/>
      <c r="H163" s="195"/>
      <c r="I163" s="196"/>
      <c r="J163" s="195"/>
      <c r="K163" s="196"/>
      <c r="L163" s="195"/>
      <c r="M163" s="197">
        <v>1</v>
      </c>
      <c r="N163" s="198">
        <f>VLOOKUP($B163,ma!$A:$C,3,0)</f>
        <v>1800000</v>
      </c>
      <c r="O163" s="198">
        <f t="shared" si="0"/>
        <v>1800000</v>
      </c>
      <c r="P163" s="198">
        <f t="shared" si="11"/>
        <v>180000</v>
      </c>
      <c r="Q163" s="177"/>
      <c r="R163" s="177"/>
      <c r="S163" s="177"/>
      <c r="T163" s="177"/>
      <c r="U163" s="177"/>
      <c r="V163" s="22"/>
      <c r="W163" s="22"/>
      <c r="X163" s="22"/>
      <c r="Y163" s="22"/>
      <c r="Z163" s="22"/>
      <c r="AA163" s="22"/>
      <c r="AB163" s="22"/>
    </row>
    <row r="164" spans="1:28" ht="16">
      <c r="A164" s="200">
        <f t="shared" si="7"/>
        <v>158</v>
      </c>
      <c r="B164" s="201"/>
      <c r="C164" s="201"/>
      <c r="D164" s="202">
        <v>46195</v>
      </c>
      <c r="E164" s="215" t="e">
        <f>VLOOKUP($C164,xe!$A:$B,2,0)</f>
        <v>#N/A</v>
      </c>
      <c r="F164" s="204" t="e">
        <f>VLOOKUP($B164,ma!$A:$B,2,0)</f>
        <v>#N/A</v>
      </c>
      <c r="G164" s="205"/>
      <c r="H164" s="205"/>
      <c r="I164" s="206"/>
      <c r="J164" s="205"/>
      <c r="K164" s="206"/>
      <c r="L164" s="205"/>
      <c r="M164" s="207"/>
      <c r="N164" s="208" t="e">
        <f>VLOOKUP($B164,ma!$A:$C,3,0)</f>
        <v>#N/A</v>
      </c>
      <c r="O164" s="208" t="e">
        <f t="shared" si="0"/>
        <v>#N/A</v>
      </c>
      <c r="P164" s="208" t="e">
        <f t="shared" si="11"/>
        <v>#N/A</v>
      </c>
      <c r="Q164" s="209"/>
      <c r="R164" s="209"/>
      <c r="S164" s="209"/>
      <c r="T164" s="209"/>
      <c r="U164" s="209"/>
      <c r="V164" s="210"/>
      <c r="W164" s="210"/>
      <c r="X164" s="210"/>
      <c r="Y164" s="210"/>
      <c r="Z164" s="210"/>
      <c r="AA164" s="210"/>
      <c r="AB164" s="210"/>
    </row>
    <row r="165" spans="1:28" ht="16">
      <c r="A165" s="190">
        <f t="shared" si="7"/>
        <v>159</v>
      </c>
      <c r="B165" s="191"/>
      <c r="C165" s="191"/>
      <c r="D165" s="192">
        <v>46195</v>
      </c>
      <c r="E165" s="199" t="e">
        <f>VLOOKUP($C165,xe!$A:$B,2,0)</f>
        <v>#N/A</v>
      </c>
      <c r="F165" s="194" t="e">
        <f>VLOOKUP($B165,ma!$A:$B,2,0)</f>
        <v>#N/A</v>
      </c>
      <c r="G165" s="195"/>
      <c r="H165" s="195"/>
      <c r="I165" s="196"/>
      <c r="J165" s="195"/>
      <c r="K165" s="196"/>
      <c r="L165" s="195"/>
      <c r="M165" s="197"/>
      <c r="N165" s="198" t="e">
        <f>VLOOKUP($B165,ma!$A:$C,3,0)</f>
        <v>#N/A</v>
      </c>
      <c r="O165" s="198" t="e">
        <f t="shared" si="0"/>
        <v>#N/A</v>
      </c>
      <c r="P165" s="198" t="e">
        <f t="shared" si="11"/>
        <v>#N/A</v>
      </c>
      <c r="Q165" s="209"/>
      <c r="R165" s="209"/>
      <c r="S165" s="209"/>
      <c r="T165" s="209"/>
      <c r="U165" s="209"/>
      <c r="V165" s="210"/>
      <c r="W165" s="210"/>
      <c r="X165" s="210"/>
      <c r="Y165" s="210"/>
      <c r="Z165" s="210"/>
      <c r="AA165" s="210"/>
      <c r="AB165" s="210"/>
    </row>
    <row r="166" spans="1:28" ht="16">
      <c r="A166" s="190">
        <f t="shared" si="7"/>
        <v>160</v>
      </c>
      <c r="B166" s="191"/>
      <c r="C166" s="191"/>
      <c r="D166" s="192"/>
      <c r="E166" s="199" t="e">
        <f>VLOOKUP($C166,xe!$A:$B,2,0)</f>
        <v>#N/A</v>
      </c>
      <c r="F166" s="194" t="e">
        <f>VLOOKUP($B166,ma!$A:$B,2,0)</f>
        <v>#N/A</v>
      </c>
      <c r="G166" s="195"/>
      <c r="H166" s="195"/>
      <c r="I166" s="196"/>
      <c r="J166" s="195"/>
      <c r="K166" s="196"/>
      <c r="L166" s="195"/>
      <c r="M166" s="197"/>
      <c r="N166" s="198" t="e">
        <f>VLOOKUP($B166,ma!$A:$C,3,0)</f>
        <v>#N/A</v>
      </c>
      <c r="O166" s="198" t="e">
        <f t="shared" si="0"/>
        <v>#N/A</v>
      </c>
      <c r="P166" s="198" t="e">
        <f t="shared" si="11"/>
        <v>#N/A</v>
      </c>
      <c r="Q166" s="177"/>
      <c r="R166" s="177"/>
      <c r="S166" s="177"/>
      <c r="T166" s="177"/>
      <c r="U166" s="177"/>
      <c r="V166" s="22"/>
      <c r="W166" s="22"/>
      <c r="X166" s="22"/>
      <c r="Y166" s="22"/>
      <c r="Z166" s="22"/>
      <c r="AA166" s="22"/>
      <c r="AB166" s="22"/>
    </row>
    <row r="167" spans="1:28" ht="16">
      <c r="A167" s="190">
        <f t="shared" si="7"/>
        <v>161</v>
      </c>
      <c r="B167" s="191"/>
      <c r="C167" s="191"/>
      <c r="D167" s="192"/>
      <c r="E167" s="199" t="e">
        <f>VLOOKUP($C167,xe!$A:$B,2,0)</f>
        <v>#N/A</v>
      </c>
      <c r="F167" s="194" t="e">
        <f>VLOOKUP($B167,ma!$A:$B,2,0)</f>
        <v>#N/A</v>
      </c>
      <c r="G167" s="195"/>
      <c r="H167" s="195"/>
      <c r="I167" s="196"/>
      <c r="J167" s="195"/>
      <c r="K167" s="196"/>
      <c r="L167" s="195"/>
      <c r="M167" s="197"/>
      <c r="N167" s="198" t="e">
        <f>VLOOKUP($B167,ma!$A:$C,3,0)</f>
        <v>#N/A</v>
      </c>
      <c r="O167" s="198" t="e">
        <f t="shared" si="0"/>
        <v>#N/A</v>
      </c>
      <c r="P167" s="198" t="e">
        <f t="shared" si="11"/>
        <v>#N/A</v>
      </c>
      <c r="Q167" s="177"/>
      <c r="R167" s="177"/>
      <c r="S167" s="177"/>
      <c r="T167" s="177"/>
      <c r="U167" s="177"/>
      <c r="V167" s="22"/>
      <c r="W167" s="22"/>
      <c r="X167" s="22"/>
      <c r="Y167" s="22"/>
      <c r="Z167" s="22"/>
      <c r="AA167" s="22"/>
      <c r="AB167" s="22"/>
    </row>
    <row r="168" spans="1:28" ht="16">
      <c r="A168" s="190">
        <f t="shared" si="7"/>
        <v>162</v>
      </c>
      <c r="B168" s="191"/>
      <c r="C168" s="191"/>
      <c r="D168" s="192"/>
      <c r="E168" s="199" t="e">
        <f>VLOOKUP($C168,xe!$A:$B,2,0)</f>
        <v>#N/A</v>
      </c>
      <c r="F168" s="194" t="e">
        <f>VLOOKUP($B168,ma!$A:$B,2,0)</f>
        <v>#N/A</v>
      </c>
      <c r="G168" s="195"/>
      <c r="H168" s="195"/>
      <c r="I168" s="196"/>
      <c r="J168" s="195"/>
      <c r="K168" s="196"/>
      <c r="L168" s="195"/>
      <c r="M168" s="197"/>
      <c r="N168" s="198" t="e">
        <f>VLOOKUP($B168,ma!$A:$C,3,0)</f>
        <v>#N/A</v>
      </c>
      <c r="O168" s="198" t="e">
        <f t="shared" si="0"/>
        <v>#N/A</v>
      </c>
      <c r="P168" s="198" t="e">
        <f t="shared" si="11"/>
        <v>#N/A</v>
      </c>
      <c r="Q168" s="177"/>
      <c r="R168" s="177"/>
      <c r="S168" s="177"/>
      <c r="T168" s="177"/>
      <c r="U168" s="177"/>
      <c r="V168" s="22"/>
      <c r="W168" s="22"/>
      <c r="X168" s="22"/>
      <c r="Y168" s="22"/>
      <c r="Z168" s="22"/>
      <c r="AA168" s="22"/>
      <c r="AB168" s="22"/>
    </row>
    <row r="169" spans="1:28" ht="16">
      <c r="A169" s="190">
        <f t="shared" si="7"/>
        <v>163</v>
      </c>
      <c r="B169" s="191"/>
      <c r="C169" s="191"/>
      <c r="D169" s="192"/>
      <c r="E169" s="199" t="e">
        <f>VLOOKUP($C169,xe!$A:$B,2,0)</f>
        <v>#N/A</v>
      </c>
      <c r="F169" s="194" t="e">
        <f>VLOOKUP($B169,ma!$A:$B,2,0)</f>
        <v>#N/A</v>
      </c>
      <c r="G169" s="195"/>
      <c r="H169" s="195"/>
      <c r="I169" s="196"/>
      <c r="J169" s="195"/>
      <c r="K169" s="196"/>
      <c r="L169" s="195"/>
      <c r="M169" s="197"/>
      <c r="N169" s="198" t="e">
        <f>VLOOKUP($B169,ma!$A:$C,3,0)</f>
        <v>#N/A</v>
      </c>
      <c r="O169" s="198" t="e">
        <f t="shared" si="0"/>
        <v>#N/A</v>
      </c>
      <c r="P169" s="198" t="e">
        <f t="shared" si="11"/>
        <v>#N/A</v>
      </c>
      <c r="Q169" s="177"/>
      <c r="R169" s="177"/>
      <c r="S169" s="177"/>
      <c r="T169" s="177"/>
      <c r="U169" s="177"/>
      <c r="V169" s="22"/>
      <c r="W169" s="22"/>
      <c r="X169" s="22"/>
      <c r="Y169" s="22"/>
      <c r="Z169" s="22"/>
      <c r="AA169" s="22"/>
      <c r="AB169" s="22"/>
    </row>
    <row r="170" spans="1:28" ht="16">
      <c r="A170" s="190">
        <f t="shared" si="7"/>
        <v>164</v>
      </c>
      <c r="B170" s="191"/>
      <c r="C170" s="191"/>
      <c r="D170" s="192"/>
      <c r="E170" s="199" t="e">
        <f>VLOOKUP($C170,xe!$A:$B,2,0)</f>
        <v>#N/A</v>
      </c>
      <c r="F170" s="194" t="e">
        <f>VLOOKUP($B170,ma!$A:$B,2,0)</f>
        <v>#N/A</v>
      </c>
      <c r="G170" s="195"/>
      <c r="H170" s="195"/>
      <c r="I170" s="196"/>
      <c r="J170" s="195"/>
      <c r="K170" s="196"/>
      <c r="L170" s="195"/>
      <c r="M170" s="197"/>
      <c r="N170" s="198" t="e">
        <f>VLOOKUP($B170,ma!$A:$C,3,0)</f>
        <v>#N/A</v>
      </c>
      <c r="O170" s="198" t="e">
        <f t="shared" si="0"/>
        <v>#N/A</v>
      </c>
      <c r="P170" s="198" t="e">
        <f t="shared" si="11"/>
        <v>#N/A</v>
      </c>
      <c r="Q170" s="177"/>
      <c r="R170" s="177"/>
      <c r="S170" s="177"/>
      <c r="T170" s="177"/>
      <c r="U170" s="177"/>
      <c r="V170" s="22"/>
      <c r="W170" s="22"/>
      <c r="X170" s="22"/>
      <c r="Y170" s="22"/>
      <c r="Z170" s="22"/>
      <c r="AA170" s="22"/>
      <c r="AB170" s="22"/>
    </row>
    <row r="171" spans="1:28" ht="16">
      <c r="A171" s="190">
        <f t="shared" si="7"/>
        <v>165</v>
      </c>
      <c r="B171" s="191"/>
      <c r="C171" s="191"/>
      <c r="D171" s="192"/>
      <c r="E171" s="199" t="e">
        <f>VLOOKUP($C171,xe!$A:$B,2,0)</f>
        <v>#N/A</v>
      </c>
      <c r="F171" s="194" t="e">
        <f>VLOOKUP($B171,ma!$A:$B,2,0)</f>
        <v>#N/A</v>
      </c>
      <c r="G171" s="195"/>
      <c r="H171" s="195"/>
      <c r="I171" s="196"/>
      <c r="J171" s="195"/>
      <c r="K171" s="196"/>
      <c r="L171" s="195"/>
      <c r="M171" s="197"/>
      <c r="N171" s="198" t="e">
        <f>VLOOKUP($B171,ma!$A:$C,3,0)</f>
        <v>#N/A</v>
      </c>
      <c r="O171" s="198" t="e">
        <f t="shared" si="0"/>
        <v>#N/A</v>
      </c>
      <c r="P171" s="198" t="e">
        <f t="shared" si="11"/>
        <v>#N/A</v>
      </c>
      <c r="Q171" s="177"/>
      <c r="R171" s="177"/>
      <c r="S171" s="177"/>
      <c r="T171" s="177"/>
      <c r="U171" s="177"/>
      <c r="V171" s="22"/>
      <c r="W171" s="22"/>
      <c r="X171" s="22"/>
      <c r="Y171" s="22"/>
      <c r="Z171" s="22"/>
      <c r="AA171" s="22"/>
      <c r="AB171" s="22"/>
    </row>
    <row r="172" spans="1:28" ht="16">
      <c r="A172" s="190">
        <f t="shared" si="7"/>
        <v>166</v>
      </c>
      <c r="B172" s="191"/>
      <c r="C172" s="191"/>
      <c r="D172" s="192"/>
      <c r="E172" s="199" t="e">
        <f>VLOOKUP($C172,xe!$A:$B,2,0)</f>
        <v>#N/A</v>
      </c>
      <c r="F172" s="194" t="e">
        <f>VLOOKUP($B172,ma!$A:$B,2,0)</f>
        <v>#N/A</v>
      </c>
      <c r="G172" s="195"/>
      <c r="H172" s="195"/>
      <c r="I172" s="196"/>
      <c r="J172" s="195"/>
      <c r="K172" s="196"/>
      <c r="L172" s="195"/>
      <c r="M172" s="197"/>
      <c r="N172" s="198" t="e">
        <f>VLOOKUP($B172,ma!$A:$C,3,0)</f>
        <v>#N/A</v>
      </c>
      <c r="O172" s="198" t="e">
        <f t="shared" si="0"/>
        <v>#N/A</v>
      </c>
      <c r="P172" s="198" t="e">
        <f t="shared" si="11"/>
        <v>#N/A</v>
      </c>
      <c r="Q172" s="177"/>
      <c r="R172" s="177"/>
      <c r="S172" s="177"/>
      <c r="T172" s="177"/>
      <c r="U172" s="177"/>
      <c r="V172" s="22"/>
      <c r="W172" s="22"/>
      <c r="X172" s="22"/>
      <c r="Y172" s="22"/>
      <c r="Z172" s="22"/>
      <c r="AA172" s="22"/>
      <c r="AB172" s="22"/>
    </row>
    <row r="173" spans="1:28" ht="16">
      <c r="A173" s="190">
        <f t="shared" si="7"/>
        <v>167</v>
      </c>
      <c r="B173" s="191"/>
      <c r="C173" s="191"/>
      <c r="D173" s="192"/>
      <c r="E173" s="199" t="e">
        <f>VLOOKUP($C173,xe!$A:$B,2,0)</f>
        <v>#N/A</v>
      </c>
      <c r="F173" s="194" t="e">
        <f>VLOOKUP($B173,ma!$A:$B,2,0)</f>
        <v>#N/A</v>
      </c>
      <c r="G173" s="195"/>
      <c r="H173" s="195"/>
      <c r="I173" s="196"/>
      <c r="J173" s="195"/>
      <c r="K173" s="196"/>
      <c r="L173" s="195"/>
      <c r="M173" s="197"/>
      <c r="N173" s="198" t="e">
        <f>VLOOKUP($B173,ma!$A:$C,3,0)</f>
        <v>#N/A</v>
      </c>
      <c r="O173" s="198" t="e">
        <f t="shared" si="0"/>
        <v>#N/A</v>
      </c>
      <c r="P173" s="198" t="e">
        <f t="shared" si="11"/>
        <v>#N/A</v>
      </c>
      <c r="Q173" s="177"/>
      <c r="R173" s="177"/>
      <c r="S173" s="177"/>
      <c r="T173" s="177"/>
      <c r="U173" s="177"/>
      <c r="V173" s="22"/>
      <c r="W173" s="22"/>
      <c r="X173" s="22"/>
      <c r="Y173" s="22"/>
      <c r="Z173" s="22"/>
      <c r="AA173" s="22"/>
      <c r="AB173" s="22"/>
    </row>
    <row r="174" spans="1:28" ht="16">
      <c r="A174" s="190">
        <f t="shared" si="7"/>
        <v>168</v>
      </c>
      <c r="B174" s="191"/>
      <c r="C174" s="191"/>
      <c r="D174" s="192"/>
      <c r="E174" s="199" t="e">
        <f>VLOOKUP($C174,xe!$A:$B,2,0)</f>
        <v>#N/A</v>
      </c>
      <c r="F174" s="194" t="e">
        <f>VLOOKUP($B174,ma!$A:$B,2,0)</f>
        <v>#N/A</v>
      </c>
      <c r="G174" s="195"/>
      <c r="H174" s="195"/>
      <c r="I174" s="196"/>
      <c r="J174" s="195"/>
      <c r="K174" s="196"/>
      <c r="L174" s="195"/>
      <c r="M174" s="197"/>
      <c r="N174" s="198" t="e">
        <f>VLOOKUP($B174,ma!$A:$C,3,0)</f>
        <v>#N/A</v>
      </c>
      <c r="O174" s="198" t="e">
        <f t="shared" si="0"/>
        <v>#N/A</v>
      </c>
      <c r="P174" s="198" t="e">
        <f t="shared" si="11"/>
        <v>#N/A</v>
      </c>
      <c r="Q174" s="209"/>
      <c r="R174" s="209"/>
      <c r="S174" s="209"/>
      <c r="T174" s="209"/>
      <c r="U174" s="209"/>
      <c r="V174" s="210"/>
      <c r="W174" s="210"/>
      <c r="X174" s="210"/>
      <c r="Y174" s="210"/>
      <c r="Z174" s="210"/>
      <c r="AA174" s="210"/>
      <c r="AB174" s="210"/>
    </row>
    <row r="175" spans="1:28" ht="16">
      <c r="A175" s="190">
        <f t="shared" si="7"/>
        <v>169</v>
      </c>
      <c r="B175" s="191"/>
      <c r="C175" s="191"/>
      <c r="D175" s="192"/>
      <c r="E175" s="199" t="e">
        <f>VLOOKUP($C175,xe!$A:$B,2,0)</f>
        <v>#N/A</v>
      </c>
      <c r="F175" s="194" t="e">
        <f>VLOOKUP($B175,ma!$A:$B,2,0)</f>
        <v>#N/A</v>
      </c>
      <c r="G175" s="195"/>
      <c r="H175" s="195"/>
      <c r="I175" s="196"/>
      <c r="J175" s="195"/>
      <c r="K175" s="196"/>
      <c r="L175" s="195"/>
      <c r="M175" s="197"/>
      <c r="N175" s="198" t="e">
        <f>VLOOKUP($B175,ma!$A:$C,3,0)</f>
        <v>#N/A</v>
      </c>
      <c r="O175" s="198" t="e">
        <f t="shared" si="0"/>
        <v>#N/A</v>
      </c>
      <c r="P175" s="198" t="e">
        <f t="shared" si="11"/>
        <v>#N/A</v>
      </c>
      <c r="Q175" s="177"/>
      <c r="R175" s="177"/>
      <c r="S175" s="177"/>
      <c r="T175" s="177"/>
      <c r="U175" s="177"/>
      <c r="V175" s="22"/>
      <c r="W175" s="22"/>
      <c r="X175" s="22"/>
      <c r="Y175" s="22"/>
      <c r="Z175" s="22"/>
      <c r="AA175" s="22"/>
      <c r="AB175" s="22"/>
    </row>
    <row r="176" spans="1:28" ht="16">
      <c r="A176" s="190">
        <f t="shared" si="7"/>
        <v>170</v>
      </c>
      <c r="B176" s="191"/>
      <c r="C176" s="191"/>
      <c r="D176" s="192"/>
      <c r="E176" s="199" t="e">
        <f>VLOOKUP($C176,xe!$A:$B,2,0)</f>
        <v>#N/A</v>
      </c>
      <c r="F176" s="194" t="e">
        <f>VLOOKUP($B176,ma!$A:$B,2,0)</f>
        <v>#N/A</v>
      </c>
      <c r="G176" s="195"/>
      <c r="H176" s="195"/>
      <c r="I176" s="196"/>
      <c r="J176" s="195"/>
      <c r="K176" s="196"/>
      <c r="L176" s="195"/>
      <c r="M176" s="197"/>
      <c r="N176" s="198" t="e">
        <f>VLOOKUP($B176,ma!$A:$C,3,0)</f>
        <v>#N/A</v>
      </c>
      <c r="O176" s="198" t="e">
        <f t="shared" si="0"/>
        <v>#N/A</v>
      </c>
      <c r="P176" s="198" t="e">
        <f t="shared" si="11"/>
        <v>#N/A</v>
      </c>
      <c r="Q176" s="177"/>
      <c r="R176" s="177"/>
      <c r="S176" s="177"/>
      <c r="T176" s="177"/>
      <c r="U176" s="177"/>
      <c r="V176" s="22"/>
      <c r="W176" s="22"/>
      <c r="X176" s="22"/>
      <c r="Y176" s="22"/>
      <c r="Z176" s="22"/>
      <c r="AA176" s="22"/>
      <c r="AB176" s="22"/>
    </row>
    <row r="177" spans="1:28" ht="16">
      <c r="A177" s="190">
        <f t="shared" si="7"/>
        <v>171</v>
      </c>
      <c r="B177" s="191"/>
      <c r="C177" s="191"/>
      <c r="D177" s="192"/>
      <c r="E177" s="199" t="e">
        <f>VLOOKUP($C177,xe!$A:$B,2,0)</f>
        <v>#N/A</v>
      </c>
      <c r="F177" s="194" t="e">
        <f>VLOOKUP($B177,ma!$A:$B,2,0)</f>
        <v>#N/A</v>
      </c>
      <c r="G177" s="195"/>
      <c r="H177" s="195"/>
      <c r="I177" s="196"/>
      <c r="J177" s="195"/>
      <c r="K177" s="196"/>
      <c r="L177" s="195"/>
      <c r="M177" s="197"/>
      <c r="N177" s="198" t="e">
        <f>VLOOKUP($B177,ma!$A:$C,3,0)</f>
        <v>#N/A</v>
      </c>
      <c r="O177" s="198" t="e">
        <f t="shared" si="0"/>
        <v>#N/A</v>
      </c>
      <c r="P177" s="198" t="e">
        <f t="shared" si="11"/>
        <v>#N/A</v>
      </c>
      <c r="Q177" s="177"/>
      <c r="R177" s="177"/>
      <c r="S177" s="177"/>
      <c r="T177" s="177"/>
      <c r="U177" s="177"/>
      <c r="V177" s="22"/>
      <c r="W177" s="22"/>
      <c r="X177" s="22"/>
      <c r="Y177" s="22"/>
      <c r="Z177" s="22"/>
      <c r="AA177" s="22"/>
      <c r="AB177" s="22"/>
    </row>
    <row r="178" spans="1:28" ht="16">
      <c r="A178" s="190">
        <f t="shared" si="7"/>
        <v>172</v>
      </c>
      <c r="B178" s="191"/>
      <c r="C178" s="191"/>
      <c r="D178" s="192"/>
      <c r="E178" s="199" t="e">
        <f>VLOOKUP($C178,xe!$A:$B,2,0)</f>
        <v>#N/A</v>
      </c>
      <c r="F178" s="194" t="e">
        <f>VLOOKUP($B178,ma!$A:$B,2,0)</f>
        <v>#N/A</v>
      </c>
      <c r="G178" s="195"/>
      <c r="H178" s="195"/>
      <c r="I178" s="196"/>
      <c r="J178" s="195"/>
      <c r="K178" s="196"/>
      <c r="L178" s="195"/>
      <c r="M178" s="197"/>
      <c r="N178" s="198" t="e">
        <f>VLOOKUP($B178,ma!$A:$C,3,0)</f>
        <v>#N/A</v>
      </c>
      <c r="O178" s="198" t="e">
        <f t="shared" si="0"/>
        <v>#N/A</v>
      </c>
      <c r="P178" s="198" t="e">
        <f t="shared" si="11"/>
        <v>#N/A</v>
      </c>
      <c r="Q178" s="177"/>
      <c r="R178" s="177"/>
      <c r="S178" s="177"/>
      <c r="T178" s="177"/>
      <c r="U178" s="177"/>
      <c r="V178" s="22"/>
      <c r="W178" s="22"/>
      <c r="X178" s="22"/>
      <c r="Y178" s="22"/>
      <c r="Z178" s="22"/>
      <c r="AA178" s="22"/>
      <c r="AB178" s="22"/>
    </row>
    <row r="179" spans="1:28" ht="16">
      <c r="A179" s="190">
        <f t="shared" si="7"/>
        <v>173</v>
      </c>
      <c r="B179" s="191"/>
      <c r="C179" s="191"/>
      <c r="D179" s="192"/>
      <c r="E179" s="199" t="e">
        <f>VLOOKUP($C179,xe!$A:$B,2,0)</f>
        <v>#N/A</v>
      </c>
      <c r="F179" s="194" t="e">
        <f>VLOOKUP($B179,ma!$A:$B,2,0)</f>
        <v>#N/A</v>
      </c>
      <c r="G179" s="195"/>
      <c r="H179" s="195"/>
      <c r="I179" s="196"/>
      <c r="J179" s="195"/>
      <c r="K179" s="196"/>
      <c r="L179" s="195"/>
      <c r="M179" s="197"/>
      <c r="N179" s="198" t="e">
        <f>VLOOKUP($B179,ma!$A:$C,3,0)</f>
        <v>#N/A</v>
      </c>
      <c r="O179" s="198" t="e">
        <f t="shared" si="0"/>
        <v>#N/A</v>
      </c>
      <c r="P179" s="198" t="e">
        <f t="shared" si="11"/>
        <v>#N/A</v>
      </c>
      <c r="Q179" s="177"/>
      <c r="R179" s="177"/>
      <c r="S179" s="177"/>
      <c r="T179" s="177"/>
      <c r="U179" s="177"/>
      <c r="V179" s="22"/>
      <c r="W179" s="22"/>
      <c r="X179" s="22"/>
      <c r="Y179" s="22"/>
      <c r="Z179" s="22"/>
      <c r="AA179" s="22"/>
      <c r="AB179" s="22"/>
    </row>
    <row r="180" spans="1:28" ht="16">
      <c r="A180" s="190">
        <f t="shared" si="7"/>
        <v>174</v>
      </c>
      <c r="B180" s="191"/>
      <c r="C180" s="191"/>
      <c r="D180" s="192"/>
      <c r="E180" s="199" t="e">
        <f>VLOOKUP($C180,xe!$A:$B,2,0)</f>
        <v>#N/A</v>
      </c>
      <c r="F180" s="194" t="e">
        <f>VLOOKUP($B180,ma!$A:$B,2,0)</f>
        <v>#N/A</v>
      </c>
      <c r="G180" s="195"/>
      <c r="H180" s="195"/>
      <c r="I180" s="196"/>
      <c r="J180" s="195"/>
      <c r="K180" s="196"/>
      <c r="L180" s="195"/>
      <c r="M180" s="197"/>
      <c r="N180" s="198" t="e">
        <f>VLOOKUP($B180,ma!$A:$C,3,0)</f>
        <v>#N/A</v>
      </c>
      <c r="O180" s="198" t="e">
        <f t="shared" si="0"/>
        <v>#N/A</v>
      </c>
      <c r="P180" s="198" t="e">
        <f t="shared" si="11"/>
        <v>#N/A</v>
      </c>
      <c r="Q180" s="177"/>
      <c r="R180" s="177"/>
      <c r="S180" s="177"/>
      <c r="T180" s="177"/>
      <c r="U180" s="177"/>
      <c r="V180" s="22"/>
      <c r="W180" s="22"/>
      <c r="X180" s="22"/>
      <c r="Y180" s="22"/>
      <c r="Z180" s="22"/>
      <c r="AA180" s="22"/>
      <c r="AB180" s="22"/>
    </row>
    <row r="181" spans="1:28" ht="16">
      <c r="A181" s="190">
        <f t="shared" si="7"/>
        <v>175</v>
      </c>
      <c r="B181" s="191"/>
      <c r="C181" s="191"/>
      <c r="D181" s="192"/>
      <c r="E181" s="199" t="e">
        <f>VLOOKUP($C181,xe!$A:$B,2,0)</f>
        <v>#N/A</v>
      </c>
      <c r="F181" s="194" t="e">
        <f>VLOOKUP($B181,ma!$A:$B,2,0)</f>
        <v>#N/A</v>
      </c>
      <c r="G181" s="195"/>
      <c r="H181" s="195"/>
      <c r="I181" s="196"/>
      <c r="J181" s="195"/>
      <c r="K181" s="196"/>
      <c r="L181" s="195"/>
      <c r="M181" s="197"/>
      <c r="N181" s="198" t="e">
        <f>VLOOKUP($B181,ma!$A:$C,3,0)</f>
        <v>#N/A</v>
      </c>
      <c r="O181" s="198" t="e">
        <f t="shared" si="0"/>
        <v>#N/A</v>
      </c>
      <c r="P181" s="198" t="e">
        <f t="shared" si="11"/>
        <v>#N/A</v>
      </c>
      <c r="Q181" s="177"/>
      <c r="R181" s="177"/>
      <c r="S181" s="177"/>
      <c r="T181" s="177"/>
      <c r="U181" s="177"/>
      <c r="V181" s="22"/>
      <c r="W181" s="22"/>
      <c r="X181" s="22"/>
      <c r="Y181" s="22"/>
      <c r="Z181" s="22"/>
      <c r="AA181" s="22"/>
      <c r="AB181" s="22"/>
    </row>
    <row r="182" spans="1:28" ht="16">
      <c r="A182" s="190">
        <f t="shared" si="7"/>
        <v>176</v>
      </c>
      <c r="B182" s="191"/>
      <c r="C182" s="191"/>
      <c r="D182" s="192"/>
      <c r="E182" s="199" t="e">
        <f>VLOOKUP($C182,xe!$A:$B,2,0)</f>
        <v>#N/A</v>
      </c>
      <c r="F182" s="194" t="e">
        <f>VLOOKUP($B182,ma!$A:$B,2,0)</f>
        <v>#N/A</v>
      </c>
      <c r="G182" s="195"/>
      <c r="H182" s="195"/>
      <c r="I182" s="196"/>
      <c r="J182" s="195"/>
      <c r="K182" s="196"/>
      <c r="L182" s="195"/>
      <c r="M182" s="197"/>
      <c r="N182" s="198" t="e">
        <f>VLOOKUP($B182,ma!$A:$C,3,0)</f>
        <v>#N/A</v>
      </c>
      <c r="O182" s="198" t="e">
        <f t="shared" si="0"/>
        <v>#N/A</v>
      </c>
      <c r="P182" s="198" t="e">
        <f t="shared" si="11"/>
        <v>#N/A</v>
      </c>
      <c r="Q182" s="177"/>
      <c r="R182" s="177"/>
      <c r="S182" s="177"/>
      <c r="T182" s="177"/>
      <c r="U182" s="177"/>
      <c r="V182" s="22"/>
      <c r="W182" s="22"/>
      <c r="X182" s="22"/>
      <c r="Y182" s="22"/>
      <c r="Z182" s="22"/>
      <c r="AA182" s="22"/>
      <c r="AB182" s="22"/>
    </row>
    <row r="183" spans="1:28" ht="16">
      <c r="A183" s="190">
        <f t="shared" si="7"/>
        <v>177</v>
      </c>
      <c r="B183" s="191"/>
      <c r="C183" s="191"/>
      <c r="D183" s="192"/>
      <c r="E183" s="199" t="e">
        <f>VLOOKUP($C183,xe!$A:$B,2,0)</f>
        <v>#N/A</v>
      </c>
      <c r="F183" s="194" t="e">
        <f>VLOOKUP($B183,ma!$A:$B,2,0)</f>
        <v>#N/A</v>
      </c>
      <c r="G183" s="195"/>
      <c r="H183" s="195"/>
      <c r="I183" s="196"/>
      <c r="J183" s="195"/>
      <c r="K183" s="196"/>
      <c r="L183" s="195"/>
      <c r="M183" s="197"/>
      <c r="N183" s="198" t="e">
        <f>VLOOKUP($B183,ma!$A:$C,3,0)</f>
        <v>#N/A</v>
      </c>
      <c r="O183" s="198" t="e">
        <f t="shared" si="0"/>
        <v>#N/A</v>
      </c>
      <c r="P183" s="198" t="e">
        <f t="shared" si="11"/>
        <v>#N/A</v>
      </c>
      <c r="Q183" s="177"/>
      <c r="R183" s="177"/>
      <c r="S183" s="177"/>
      <c r="T183" s="177"/>
      <c r="U183" s="177"/>
      <c r="V183" s="22"/>
      <c r="W183" s="22"/>
      <c r="X183" s="22"/>
      <c r="Y183" s="22"/>
      <c r="Z183" s="22"/>
      <c r="AA183" s="22"/>
      <c r="AB183" s="22"/>
    </row>
    <row r="184" spans="1:28" ht="16">
      <c r="A184" s="190">
        <f t="shared" si="7"/>
        <v>178</v>
      </c>
      <c r="B184" s="191"/>
      <c r="C184" s="191"/>
      <c r="D184" s="192"/>
      <c r="E184" s="199" t="e">
        <f>VLOOKUP($C184,xe!$A:$B,2,0)</f>
        <v>#N/A</v>
      </c>
      <c r="F184" s="194" t="e">
        <f>VLOOKUP($B184,ma!$A:$B,2,0)</f>
        <v>#N/A</v>
      </c>
      <c r="G184" s="195"/>
      <c r="H184" s="195"/>
      <c r="I184" s="196"/>
      <c r="J184" s="195"/>
      <c r="K184" s="196"/>
      <c r="L184" s="195"/>
      <c r="M184" s="197"/>
      <c r="N184" s="198" t="e">
        <f>VLOOKUP($B184,ma!$A:$C,3,0)</f>
        <v>#N/A</v>
      </c>
      <c r="O184" s="198" t="e">
        <f t="shared" si="0"/>
        <v>#N/A</v>
      </c>
      <c r="P184" s="198" t="e">
        <f t="shared" si="11"/>
        <v>#N/A</v>
      </c>
      <c r="Q184" s="177"/>
      <c r="R184" s="177"/>
      <c r="S184" s="177"/>
      <c r="T184" s="177"/>
      <c r="U184" s="177"/>
      <c r="V184" s="22"/>
      <c r="W184" s="22"/>
      <c r="X184" s="22"/>
      <c r="Y184" s="22"/>
      <c r="Z184" s="22"/>
      <c r="AA184" s="22"/>
      <c r="AB184" s="22"/>
    </row>
    <row r="185" spans="1:28" ht="16">
      <c r="A185" s="190">
        <f t="shared" si="7"/>
        <v>179</v>
      </c>
      <c r="B185" s="191"/>
      <c r="C185" s="191"/>
      <c r="D185" s="192"/>
      <c r="E185" s="199" t="e">
        <f>VLOOKUP($C185,xe!$A:$B,2,0)</f>
        <v>#N/A</v>
      </c>
      <c r="F185" s="194" t="e">
        <f>VLOOKUP($B185,ma!$A:$B,2,0)</f>
        <v>#N/A</v>
      </c>
      <c r="G185" s="195"/>
      <c r="H185" s="195"/>
      <c r="I185" s="196"/>
      <c r="J185" s="195"/>
      <c r="K185" s="196"/>
      <c r="L185" s="195"/>
      <c r="M185" s="197"/>
      <c r="N185" s="198" t="e">
        <f>VLOOKUP($B185,ma!$A:$C,3,0)</f>
        <v>#N/A</v>
      </c>
      <c r="O185" s="198" t="e">
        <f t="shared" si="0"/>
        <v>#N/A</v>
      </c>
      <c r="P185" s="198" t="e">
        <f t="shared" si="11"/>
        <v>#N/A</v>
      </c>
      <c r="Q185" s="177"/>
      <c r="R185" s="177"/>
      <c r="S185" s="177"/>
      <c r="T185" s="177"/>
      <c r="U185" s="177"/>
      <c r="V185" s="22"/>
      <c r="W185" s="22"/>
      <c r="X185" s="22"/>
      <c r="Y185" s="22"/>
      <c r="Z185" s="22"/>
      <c r="AA185" s="22"/>
      <c r="AB185" s="22"/>
    </row>
    <row r="186" spans="1:28" ht="16">
      <c r="A186" s="190">
        <f t="shared" si="7"/>
        <v>180</v>
      </c>
      <c r="B186" s="191"/>
      <c r="C186" s="191"/>
      <c r="D186" s="192"/>
      <c r="E186" s="199" t="e">
        <f>VLOOKUP($C186,xe!$A:$B,2,0)</f>
        <v>#N/A</v>
      </c>
      <c r="F186" s="194" t="e">
        <f>VLOOKUP($B186,ma!$A:$B,2,0)</f>
        <v>#N/A</v>
      </c>
      <c r="G186" s="195"/>
      <c r="H186" s="195"/>
      <c r="I186" s="196"/>
      <c r="J186" s="195"/>
      <c r="K186" s="196"/>
      <c r="L186" s="195"/>
      <c r="M186" s="197"/>
      <c r="N186" s="198" t="e">
        <f>VLOOKUP($B186,ma!$A:$C,3,0)</f>
        <v>#N/A</v>
      </c>
      <c r="O186" s="198" t="e">
        <f t="shared" si="0"/>
        <v>#N/A</v>
      </c>
      <c r="P186" s="198" t="e">
        <f t="shared" si="11"/>
        <v>#N/A</v>
      </c>
      <c r="Q186" s="209"/>
      <c r="R186" s="209"/>
      <c r="S186" s="209"/>
      <c r="T186" s="209"/>
      <c r="U186" s="209"/>
      <c r="V186" s="210"/>
      <c r="W186" s="210"/>
      <c r="X186" s="210"/>
      <c r="Y186" s="210"/>
      <c r="Z186" s="210"/>
      <c r="AA186" s="210"/>
      <c r="AB186" s="210"/>
    </row>
    <row r="187" spans="1:28" ht="16">
      <c r="A187" s="190">
        <f t="shared" si="7"/>
        <v>181</v>
      </c>
      <c r="B187" s="191"/>
      <c r="C187" s="191"/>
      <c r="D187" s="192"/>
      <c r="E187" s="199" t="e">
        <f>VLOOKUP($C187,xe!$A:$B,2,0)</f>
        <v>#N/A</v>
      </c>
      <c r="F187" s="194" t="e">
        <f>VLOOKUP($B187,ma!$A:$B,2,0)</f>
        <v>#N/A</v>
      </c>
      <c r="G187" s="195"/>
      <c r="H187" s="195"/>
      <c r="I187" s="196"/>
      <c r="J187" s="195"/>
      <c r="K187" s="196"/>
      <c r="L187" s="195"/>
      <c r="M187" s="197"/>
      <c r="N187" s="198" t="e">
        <f>VLOOKUP($B187,ma!$A:$C,3,0)</f>
        <v>#N/A</v>
      </c>
      <c r="O187" s="198" t="e">
        <f t="shared" si="0"/>
        <v>#N/A</v>
      </c>
      <c r="P187" s="198" t="e">
        <f t="shared" si="11"/>
        <v>#N/A</v>
      </c>
      <c r="Q187" s="177"/>
      <c r="R187" s="177"/>
      <c r="S187" s="177"/>
      <c r="T187" s="177"/>
      <c r="U187" s="177"/>
      <c r="V187" s="22"/>
      <c r="W187" s="22"/>
      <c r="X187" s="22"/>
      <c r="Y187" s="22"/>
      <c r="Z187" s="22"/>
      <c r="AA187" s="22"/>
      <c r="AB187" s="22"/>
    </row>
    <row r="188" spans="1:28" ht="16">
      <c r="A188" s="190">
        <f t="shared" si="7"/>
        <v>182</v>
      </c>
      <c r="B188" s="191"/>
      <c r="C188" s="191"/>
      <c r="D188" s="192"/>
      <c r="E188" s="199" t="e">
        <f>VLOOKUP($C188,xe!$A:$B,2,0)</f>
        <v>#N/A</v>
      </c>
      <c r="F188" s="194" t="e">
        <f>VLOOKUP($B188,ma!$A:$B,2,0)</f>
        <v>#N/A</v>
      </c>
      <c r="G188" s="195"/>
      <c r="H188" s="195"/>
      <c r="I188" s="196"/>
      <c r="J188" s="195"/>
      <c r="K188" s="196"/>
      <c r="L188" s="195"/>
      <c r="M188" s="197"/>
      <c r="N188" s="198" t="e">
        <f>VLOOKUP($B188,ma!$A:$C,3,0)</f>
        <v>#N/A</v>
      </c>
      <c r="O188" s="198" t="e">
        <f t="shared" si="0"/>
        <v>#N/A</v>
      </c>
      <c r="P188" s="198" t="e">
        <f t="shared" si="11"/>
        <v>#N/A</v>
      </c>
      <c r="Q188" s="177"/>
      <c r="R188" s="177"/>
      <c r="S188" s="177"/>
      <c r="T188" s="177"/>
      <c r="U188" s="177"/>
      <c r="V188" s="22"/>
      <c r="W188" s="22"/>
      <c r="X188" s="22"/>
      <c r="Y188" s="22"/>
      <c r="Z188" s="22"/>
      <c r="AA188" s="22"/>
      <c r="AB188" s="22"/>
    </row>
    <row r="189" spans="1:28" ht="16">
      <c r="A189" s="190">
        <f t="shared" si="7"/>
        <v>183</v>
      </c>
      <c r="B189" s="191"/>
      <c r="C189" s="191"/>
      <c r="D189" s="192"/>
      <c r="E189" s="199" t="e">
        <f>VLOOKUP($C189,xe!$A:$B,2,0)</f>
        <v>#N/A</v>
      </c>
      <c r="F189" s="194" t="e">
        <f>VLOOKUP($B189,ma!$A:$B,2,0)</f>
        <v>#N/A</v>
      </c>
      <c r="G189" s="195"/>
      <c r="H189" s="195"/>
      <c r="I189" s="196"/>
      <c r="J189" s="195"/>
      <c r="K189" s="196"/>
      <c r="L189" s="195"/>
      <c r="M189" s="197"/>
      <c r="N189" s="198" t="e">
        <f>VLOOKUP($B189,ma!$A:$C,3,0)</f>
        <v>#N/A</v>
      </c>
      <c r="O189" s="198" t="e">
        <f t="shared" si="0"/>
        <v>#N/A</v>
      </c>
      <c r="P189" s="198" t="e">
        <f t="shared" si="11"/>
        <v>#N/A</v>
      </c>
      <c r="Q189" s="177"/>
      <c r="R189" s="177"/>
      <c r="S189" s="177"/>
      <c r="T189" s="177"/>
      <c r="U189" s="177"/>
      <c r="V189" s="22"/>
      <c r="W189" s="22"/>
      <c r="X189" s="22"/>
      <c r="Y189" s="22"/>
      <c r="Z189" s="22"/>
      <c r="AA189" s="22"/>
      <c r="AB189" s="22"/>
    </row>
    <row r="190" spans="1:28" ht="16">
      <c r="A190" s="190">
        <f t="shared" si="7"/>
        <v>184</v>
      </c>
      <c r="B190" s="191"/>
      <c r="C190" s="191"/>
      <c r="D190" s="192"/>
      <c r="E190" s="199" t="e">
        <f>VLOOKUP($C190,xe!$A:$B,2,0)</f>
        <v>#N/A</v>
      </c>
      <c r="F190" s="194" t="e">
        <f>VLOOKUP($B190,ma!$A:$B,2,0)</f>
        <v>#N/A</v>
      </c>
      <c r="G190" s="195"/>
      <c r="H190" s="195"/>
      <c r="I190" s="196"/>
      <c r="J190" s="195"/>
      <c r="K190" s="196"/>
      <c r="L190" s="195"/>
      <c r="M190" s="197"/>
      <c r="N190" s="198" t="e">
        <f>VLOOKUP($B190,ma!$A:$C,3,0)</f>
        <v>#N/A</v>
      </c>
      <c r="O190" s="198" t="e">
        <f t="shared" si="0"/>
        <v>#N/A</v>
      </c>
      <c r="P190" s="198" t="e">
        <f t="shared" si="11"/>
        <v>#N/A</v>
      </c>
      <c r="Q190" s="177"/>
      <c r="R190" s="177"/>
      <c r="S190" s="177"/>
      <c r="T190" s="177"/>
      <c r="U190" s="177"/>
      <c r="V190" s="22"/>
      <c r="W190" s="22"/>
      <c r="X190" s="22"/>
      <c r="Y190" s="22"/>
      <c r="Z190" s="22"/>
      <c r="AA190" s="22"/>
      <c r="AB190" s="22"/>
    </row>
    <row r="191" spans="1:28" ht="16">
      <c r="A191" s="190">
        <f t="shared" si="7"/>
        <v>185</v>
      </c>
      <c r="B191" s="191"/>
      <c r="C191" s="191"/>
      <c r="D191" s="192"/>
      <c r="E191" s="199" t="e">
        <f>VLOOKUP($C191,xe!$A:$B,2,0)</f>
        <v>#N/A</v>
      </c>
      <c r="F191" s="194" t="e">
        <f>VLOOKUP($B191,ma!$A:$B,2,0)</f>
        <v>#N/A</v>
      </c>
      <c r="G191" s="195"/>
      <c r="H191" s="195"/>
      <c r="I191" s="196"/>
      <c r="J191" s="195"/>
      <c r="K191" s="196"/>
      <c r="L191" s="195"/>
      <c r="M191" s="197"/>
      <c r="N191" s="198" t="e">
        <f>VLOOKUP($B191,ma!$A:$C,3,0)</f>
        <v>#N/A</v>
      </c>
      <c r="O191" s="198" t="e">
        <f t="shared" si="0"/>
        <v>#N/A</v>
      </c>
      <c r="P191" s="198" t="e">
        <f t="shared" si="11"/>
        <v>#N/A</v>
      </c>
      <c r="Q191" s="177"/>
      <c r="R191" s="177"/>
      <c r="S191" s="177"/>
      <c r="T191" s="177"/>
      <c r="U191" s="177"/>
      <c r="V191" s="22"/>
      <c r="W191" s="22"/>
      <c r="X191" s="22"/>
      <c r="Y191" s="22"/>
      <c r="Z191" s="22"/>
      <c r="AA191" s="22"/>
      <c r="AB191" s="22"/>
    </row>
    <row r="192" spans="1:28" ht="16">
      <c r="A192" s="190">
        <f t="shared" si="7"/>
        <v>186</v>
      </c>
      <c r="B192" s="191"/>
      <c r="C192" s="191"/>
      <c r="D192" s="192"/>
      <c r="E192" s="199" t="e">
        <f>VLOOKUP($C192,xe!$A:$B,2,0)</f>
        <v>#N/A</v>
      </c>
      <c r="F192" s="194" t="e">
        <f>VLOOKUP($B192,ma!$A:$B,2,0)</f>
        <v>#N/A</v>
      </c>
      <c r="G192" s="195"/>
      <c r="H192" s="195"/>
      <c r="I192" s="196"/>
      <c r="J192" s="195"/>
      <c r="K192" s="196"/>
      <c r="L192" s="195"/>
      <c r="M192" s="197"/>
      <c r="N192" s="198" t="e">
        <f>VLOOKUP($B192,ma!$A:$C,3,0)</f>
        <v>#N/A</v>
      </c>
      <c r="O192" s="198" t="e">
        <f t="shared" si="0"/>
        <v>#N/A</v>
      </c>
      <c r="P192" s="198" t="e">
        <f t="shared" si="11"/>
        <v>#N/A</v>
      </c>
      <c r="Q192" s="177"/>
      <c r="R192" s="177"/>
      <c r="S192" s="177"/>
      <c r="T192" s="177"/>
      <c r="U192" s="177"/>
      <c r="V192" s="22"/>
      <c r="W192" s="22"/>
      <c r="X192" s="22"/>
      <c r="Y192" s="22"/>
      <c r="Z192" s="22"/>
      <c r="AA192" s="22"/>
      <c r="AB192" s="22"/>
    </row>
    <row r="193" spans="1:28" ht="16">
      <c r="A193" s="190">
        <f t="shared" si="7"/>
        <v>187</v>
      </c>
      <c r="B193" s="191"/>
      <c r="C193" s="191"/>
      <c r="D193" s="192"/>
      <c r="E193" s="199" t="e">
        <f>VLOOKUP($C193,xe!$A:$B,2,0)</f>
        <v>#N/A</v>
      </c>
      <c r="F193" s="194" t="e">
        <f>VLOOKUP($B193,ma!$A:$B,2,0)</f>
        <v>#N/A</v>
      </c>
      <c r="G193" s="195"/>
      <c r="H193" s="195"/>
      <c r="I193" s="196"/>
      <c r="J193" s="195"/>
      <c r="K193" s="196"/>
      <c r="L193" s="195"/>
      <c r="M193" s="197"/>
      <c r="N193" s="198" t="e">
        <f>VLOOKUP($B193,ma!$A:$C,3,0)</f>
        <v>#N/A</v>
      </c>
      <c r="O193" s="198" t="e">
        <f t="shared" si="0"/>
        <v>#N/A</v>
      </c>
      <c r="P193" s="198" t="e">
        <f t="shared" si="11"/>
        <v>#N/A</v>
      </c>
      <c r="Q193" s="209"/>
      <c r="R193" s="209"/>
      <c r="S193" s="209"/>
      <c r="T193" s="209"/>
      <c r="U193" s="209"/>
      <c r="V193" s="210"/>
      <c r="W193" s="210"/>
      <c r="X193" s="210"/>
      <c r="Y193" s="210"/>
      <c r="Z193" s="210"/>
      <c r="AA193" s="210"/>
      <c r="AB193" s="210"/>
    </row>
    <row r="194" spans="1:28" ht="16">
      <c r="A194" s="190">
        <f t="shared" si="7"/>
        <v>188</v>
      </c>
      <c r="B194" s="191"/>
      <c r="C194" s="191"/>
      <c r="D194" s="192"/>
      <c r="E194" s="199" t="e">
        <f>VLOOKUP($C194,xe!$A:$B,2,0)</f>
        <v>#N/A</v>
      </c>
      <c r="F194" s="194" t="e">
        <f>VLOOKUP($B194,ma!$A:$B,2,0)</f>
        <v>#N/A</v>
      </c>
      <c r="G194" s="195"/>
      <c r="H194" s="195"/>
      <c r="I194" s="196"/>
      <c r="J194" s="195"/>
      <c r="K194" s="196"/>
      <c r="L194" s="195"/>
      <c r="M194" s="197"/>
      <c r="N194" s="198" t="e">
        <f>VLOOKUP($B194,ma!$A:$C,3,0)</f>
        <v>#N/A</v>
      </c>
      <c r="O194" s="198" t="e">
        <f t="shared" si="0"/>
        <v>#N/A</v>
      </c>
      <c r="P194" s="198" t="e">
        <f t="shared" si="11"/>
        <v>#N/A</v>
      </c>
      <c r="Q194" s="177"/>
      <c r="R194" s="177"/>
      <c r="S194" s="177"/>
      <c r="T194" s="177"/>
      <c r="U194" s="177"/>
      <c r="V194" s="22"/>
      <c r="W194" s="22"/>
      <c r="X194" s="22"/>
      <c r="Y194" s="22"/>
      <c r="Z194" s="22"/>
      <c r="AA194" s="22"/>
      <c r="AB194" s="22"/>
    </row>
    <row r="195" spans="1:28" ht="16">
      <c r="A195" s="190">
        <f t="shared" si="7"/>
        <v>189</v>
      </c>
      <c r="B195" s="191"/>
      <c r="C195" s="191"/>
      <c r="D195" s="192"/>
      <c r="E195" s="199" t="e">
        <f>VLOOKUP($C195,xe!$A:$B,2,0)</f>
        <v>#N/A</v>
      </c>
      <c r="F195" s="194" t="e">
        <f>VLOOKUP($B195,ma!$A:$B,2,0)</f>
        <v>#N/A</v>
      </c>
      <c r="G195" s="195"/>
      <c r="H195" s="195"/>
      <c r="I195" s="196"/>
      <c r="J195" s="195"/>
      <c r="K195" s="196"/>
      <c r="L195" s="195"/>
      <c r="M195" s="197"/>
      <c r="N195" s="198" t="e">
        <f>VLOOKUP($B195,ma!$A:$C,3,0)</f>
        <v>#N/A</v>
      </c>
      <c r="O195" s="198" t="e">
        <f t="shared" si="0"/>
        <v>#N/A</v>
      </c>
      <c r="P195" s="198" t="e">
        <f t="shared" si="11"/>
        <v>#N/A</v>
      </c>
      <c r="Q195" s="177"/>
      <c r="R195" s="177"/>
      <c r="S195" s="177"/>
      <c r="T195" s="177"/>
      <c r="U195" s="177"/>
      <c r="V195" s="22"/>
      <c r="W195" s="22"/>
      <c r="X195" s="22"/>
      <c r="Y195" s="22"/>
      <c r="Z195" s="22"/>
      <c r="AA195" s="22"/>
      <c r="AB195" s="22"/>
    </row>
    <row r="196" spans="1:28" ht="16">
      <c r="A196" s="190">
        <f t="shared" si="7"/>
        <v>190</v>
      </c>
      <c r="B196" s="191"/>
      <c r="C196" s="191"/>
      <c r="D196" s="192"/>
      <c r="E196" s="199" t="e">
        <f>VLOOKUP($C196,xe!$A:$B,2,0)</f>
        <v>#N/A</v>
      </c>
      <c r="F196" s="194" t="e">
        <f>VLOOKUP($B196,ma!$A:$B,2,0)</f>
        <v>#N/A</v>
      </c>
      <c r="G196" s="195"/>
      <c r="H196" s="195"/>
      <c r="I196" s="196"/>
      <c r="J196" s="195"/>
      <c r="K196" s="196"/>
      <c r="L196" s="195"/>
      <c r="M196" s="197"/>
      <c r="N196" s="198" t="e">
        <f>VLOOKUP($B196,ma!$A:$C,3,0)</f>
        <v>#N/A</v>
      </c>
      <c r="O196" s="198" t="e">
        <f t="shared" si="0"/>
        <v>#N/A</v>
      </c>
      <c r="P196" s="198" t="e">
        <f t="shared" si="11"/>
        <v>#N/A</v>
      </c>
      <c r="Q196" s="177"/>
      <c r="R196" s="177"/>
      <c r="S196" s="177"/>
      <c r="T196" s="177"/>
      <c r="U196" s="177"/>
      <c r="V196" s="22"/>
      <c r="W196" s="22"/>
      <c r="X196" s="22"/>
      <c r="Y196" s="22"/>
      <c r="Z196" s="22"/>
      <c r="AA196" s="22"/>
      <c r="AB196" s="22"/>
    </row>
    <row r="197" spans="1:28" ht="16">
      <c r="A197" s="190">
        <f t="shared" si="7"/>
        <v>191</v>
      </c>
      <c r="B197" s="191"/>
      <c r="C197" s="191"/>
      <c r="D197" s="192"/>
      <c r="E197" s="199" t="e">
        <f>VLOOKUP($C197,xe!$A:$B,2,0)</f>
        <v>#N/A</v>
      </c>
      <c r="F197" s="194" t="e">
        <f>VLOOKUP($B197,ma!$A:$B,2,0)</f>
        <v>#N/A</v>
      </c>
      <c r="G197" s="195"/>
      <c r="H197" s="195"/>
      <c r="I197" s="196"/>
      <c r="J197" s="195"/>
      <c r="K197" s="196"/>
      <c r="L197" s="195"/>
      <c r="M197" s="197"/>
      <c r="N197" s="198" t="e">
        <f>VLOOKUP($B197,ma!$A:$C,3,0)</f>
        <v>#N/A</v>
      </c>
      <c r="O197" s="198" t="e">
        <f t="shared" si="0"/>
        <v>#N/A</v>
      </c>
      <c r="P197" s="198" t="e">
        <f t="shared" si="11"/>
        <v>#N/A</v>
      </c>
      <c r="Q197" s="177"/>
      <c r="R197" s="177"/>
      <c r="S197" s="177"/>
      <c r="T197" s="177"/>
      <c r="U197" s="177"/>
      <c r="V197" s="22"/>
      <c r="W197" s="22"/>
      <c r="X197" s="22"/>
      <c r="Y197" s="22"/>
      <c r="Z197" s="22"/>
      <c r="AA197" s="22"/>
      <c r="AB197" s="22"/>
    </row>
    <row r="198" spans="1:28" ht="16">
      <c r="A198" s="190">
        <f t="shared" si="7"/>
        <v>192</v>
      </c>
      <c r="B198" s="191"/>
      <c r="C198" s="191"/>
      <c r="D198" s="192"/>
      <c r="E198" s="199" t="e">
        <f>VLOOKUP($C198,xe!$A:$B,2,0)</f>
        <v>#N/A</v>
      </c>
      <c r="F198" s="194" t="e">
        <f>VLOOKUP($B198,ma!$A:$B,2,0)</f>
        <v>#N/A</v>
      </c>
      <c r="G198" s="195"/>
      <c r="H198" s="195"/>
      <c r="I198" s="196"/>
      <c r="J198" s="195"/>
      <c r="K198" s="196"/>
      <c r="L198" s="195"/>
      <c r="M198" s="197"/>
      <c r="N198" s="198" t="e">
        <f>VLOOKUP($B198,ma!$A:$C,3,0)</f>
        <v>#N/A</v>
      </c>
      <c r="O198" s="198" t="e">
        <f t="shared" si="0"/>
        <v>#N/A</v>
      </c>
      <c r="P198" s="198" t="e">
        <f t="shared" si="11"/>
        <v>#N/A</v>
      </c>
      <c r="Q198" s="177"/>
      <c r="R198" s="177"/>
      <c r="S198" s="177"/>
      <c r="T198" s="177"/>
      <c r="U198" s="177"/>
      <c r="V198" s="22"/>
      <c r="W198" s="22"/>
      <c r="X198" s="22"/>
      <c r="Y198" s="22"/>
      <c r="Z198" s="22"/>
      <c r="AA198" s="22"/>
      <c r="AB198" s="22"/>
    </row>
    <row r="199" spans="1:28" ht="16">
      <c r="A199" s="190">
        <f t="shared" si="7"/>
        <v>193</v>
      </c>
      <c r="B199" s="191"/>
      <c r="C199" s="191"/>
      <c r="D199" s="192"/>
      <c r="E199" s="199" t="e">
        <f>VLOOKUP($C199,xe!$A:$B,2,0)</f>
        <v>#N/A</v>
      </c>
      <c r="F199" s="194" t="e">
        <f>VLOOKUP($B199,ma!$A:$B,2,0)</f>
        <v>#N/A</v>
      </c>
      <c r="G199" s="195"/>
      <c r="H199" s="195"/>
      <c r="I199" s="196"/>
      <c r="J199" s="195"/>
      <c r="K199" s="196"/>
      <c r="L199" s="195"/>
      <c r="M199" s="197"/>
      <c r="N199" s="198" t="e">
        <f>VLOOKUP($B199,ma!$A:$C,3,0)</f>
        <v>#N/A</v>
      </c>
      <c r="O199" s="198" t="e">
        <f t="shared" si="0"/>
        <v>#N/A</v>
      </c>
      <c r="P199" s="198" t="e">
        <f t="shared" si="11"/>
        <v>#N/A</v>
      </c>
      <c r="Q199" s="177"/>
      <c r="R199" s="177"/>
      <c r="S199" s="177"/>
      <c r="T199" s="177"/>
      <c r="U199" s="177"/>
      <c r="V199" s="22"/>
      <c r="W199" s="22"/>
      <c r="X199" s="22"/>
      <c r="Y199" s="22"/>
      <c r="Z199" s="22"/>
      <c r="AA199" s="22"/>
      <c r="AB199" s="22"/>
    </row>
    <row r="200" spans="1:28" ht="16">
      <c r="A200" s="190">
        <f t="shared" si="7"/>
        <v>194</v>
      </c>
      <c r="B200" s="191"/>
      <c r="C200" s="191"/>
      <c r="D200" s="192"/>
      <c r="E200" s="199" t="e">
        <f>VLOOKUP($C200,xe!$A:$B,2,0)</f>
        <v>#N/A</v>
      </c>
      <c r="F200" s="194" t="e">
        <f>VLOOKUP($B200,ma!$A:$B,2,0)</f>
        <v>#N/A</v>
      </c>
      <c r="G200" s="195"/>
      <c r="H200" s="195"/>
      <c r="I200" s="196"/>
      <c r="J200" s="195"/>
      <c r="K200" s="196"/>
      <c r="L200" s="195"/>
      <c r="M200" s="197"/>
      <c r="N200" s="198" t="e">
        <f>VLOOKUP($B200,ma!$A:$C,3,0)</f>
        <v>#N/A</v>
      </c>
      <c r="O200" s="198" t="e">
        <f t="shared" si="0"/>
        <v>#N/A</v>
      </c>
      <c r="P200" s="198" t="e">
        <f t="shared" si="11"/>
        <v>#N/A</v>
      </c>
      <c r="Q200" s="177"/>
      <c r="R200" s="177"/>
      <c r="S200" s="177"/>
      <c r="T200" s="177"/>
      <c r="U200" s="177"/>
      <c r="V200" s="22"/>
      <c r="W200" s="22"/>
      <c r="X200" s="22"/>
      <c r="Y200" s="22"/>
      <c r="Z200" s="22"/>
      <c r="AA200" s="22"/>
      <c r="AB200" s="22"/>
    </row>
    <row r="201" spans="1:28" ht="16">
      <c r="A201" s="190">
        <f t="shared" si="7"/>
        <v>195</v>
      </c>
      <c r="B201" s="191"/>
      <c r="C201" s="191"/>
      <c r="D201" s="192"/>
      <c r="E201" s="199" t="e">
        <f>VLOOKUP($C201,xe!$A:$B,2,0)</f>
        <v>#N/A</v>
      </c>
      <c r="F201" s="194" t="e">
        <f>VLOOKUP($B201,ma!$A:$B,2,0)</f>
        <v>#N/A</v>
      </c>
      <c r="G201" s="195"/>
      <c r="H201" s="195"/>
      <c r="I201" s="196"/>
      <c r="J201" s="195"/>
      <c r="K201" s="196"/>
      <c r="L201" s="195"/>
      <c r="M201" s="197"/>
      <c r="N201" s="198" t="e">
        <f>VLOOKUP($B201,ma!$A:$C,3,0)</f>
        <v>#N/A</v>
      </c>
      <c r="O201" s="198" t="e">
        <f t="shared" si="0"/>
        <v>#N/A</v>
      </c>
      <c r="P201" s="198" t="e">
        <f t="shared" si="11"/>
        <v>#N/A</v>
      </c>
      <c r="Q201" s="177"/>
      <c r="R201" s="177"/>
      <c r="S201" s="177"/>
      <c r="T201" s="177"/>
      <c r="U201" s="177"/>
      <c r="V201" s="22"/>
      <c r="W201" s="22"/>
      <c r="X201" s="22"/>
      <c r="Y201" s="22"/>
      <c r="Z201" s="22"/>
      <c r="AA201" s="22"/>
      <c r="AB201" s="22"/>
    </row>
    <row r="202" spans="1:28" ht="16">
      <c r="A202" s="190">
        <f t="shared" si="7"/>
        <v>196</v>
      </c>
      <c r="B202" s="191"/>
      <c r="C202" s="191"/>
      <c r="D202" s="192"/>
      <c r="E202" s="199" t="e">
        <f>VLOOKUP($C202,xe!$A:$B,2,0)</f>
        <v>#N/A</v>
      </c>
      <c r="F202" s="194" t="e">
        <f>VLOOKUP($B202,ma!$A:$B,2,0)</f>
        <v>#N/A</v>
      </c>
      <c r="G202" s="195"/>
      <c r="H202" s="195"/>
      <c r="I202" s="196"/>
      <c r="J202" s="195"/>
      <c r="K202" s="196"/>
      <c r="L202" s="195"/>
      <c r="M202" s="197"/>
      <c r="N202" s="198" t="e">
        <f>VLOOKUP($B202,ma!$A:$C,3,0)</f>
        <v>#N/A</v>
      </c>
      <c r="O202" s="198" t="e">
        <f t="shared" si="0"/>
        <v>#N/A</v>
      </c>
      <c r="P202" s="198" t="e">
        <f t="shared" si="11"/>
        <v>#N/A</v>
      </c>
      <c r="Q202" s="209"/>
      <c r="R202" s="209"/>
      <c r="S202" s="209"/>
      <c r="T202" s="209"/>
      <c r="U202" s="209"/>
      <c r="V202" s="210"/>
      <c r="W202" s="210"/>
      <c r="X202" s="210"/>
      <c r="Y202" s="210"/>
      <c r="Z202" s="210"/>
      <c r="AA202" s="210"/>
      <c r="AB202" s="210"/>
    </row>
    <row r="203" spans="1:28" ht="16">
      <c r="A203" s="190">
        <f t="shared" si="7"/>
        <v>197</v>
      </c>
      <c r="B203" s="191"/>
      <c r="C203" s="191"/>
      <c r="D203" s="192"/>
      <c r="E203" s="199" t="e">
        <f>VLOOKUP($C203,xe!$A:$B,2,0)</f>
        <v>#N/A</v>
      </c>
      <c r="F203" s="194" t="e">
        <f>VLOOKUP($B203,ma!$A:$B,2,0)</f>
        <v>#N/A</v>
      </c>
      <c r="G203" s="195"/>
      <c r="H203" s="195"/>
      <c r="I203" s="196"/>
      <c r="J203" s="195"/>
      <c r="K203" s="196"/>
      <c r="L203" s="195"/>
      <c r="M203" s="197"/>
      <c r="N203" s="198" t="e">
        <f>VLOOKUP($B203,ma!$A:$C,3,0)</f>
        <v>#N/A</v>
      </c>
      <c r="O203" s="198" t="e">
        <f t="shared" si="0"/>
        <v>#N/A</v>
      </c>
      <c r="P203" s="198" t="e">
        <f t="shared" si="11"/>
        <v>#N/A</v>
      </c>
      <c r="Q203" s="177"/>
      <c r="R203" s="177"/>
      <c r="S203" s="177"/>
      <c r="T203" s="177"/>
      <c r="U203" s="177"/>
      <c r="V203" s="22"/>
      <c r="W203" s="22"/>
      <c r="X203" s="22"/>
      <c r="Y203" s="22"/>
      <c r="Z203" s="22"/>
      <c r="AA203" s="22"/>
      <c r="AB203" s="22"/>
    </row>
    <row r="204" spans="1:28" ht="16">
      <c r="A204" s="190">
        <f t="shared" si="7"/>
        <v>198</v>
      </c>
      <c r="B204" s="191"/>
      <c r="C204" s="191"/>
      <c r="D204" s="192"/>
      <c r="E204" s="199" t="e">
        <f>VLOOKUP($C204,xe!$A:$B,2,0)</f>
        <v>#N/A</v>
      </c>
      <c r="F204" s="194" t="e">
        <f>VLOOKUP($B204,ma!$A:$B,2,0)</f>
        <v>#N/A</v>
      </c>
      <c r="G204" s="195"/>
      <c r="H204" s="195"/>
      <c r="I204" s="196"/>
      <c r="J204" s="195"/>
      <c r="K204" s="196"/>
      <c r="L204" s="195"/>
      <c r="M204" s="197"/>
      <c r="N204" s="198" t="e">
        <f>VLOOKUP($B204,ma!$A:$C,3,0)</f>
        <v>#N/A</v>
      </c>
      <c r="O204" s="198" t="e">
        <f t="shared" si="0"/>
        <v>#N/A</v>
      </c>
      <c r="P204" s="198" t="e">
        <f t="shared" si="11"/>
        <v>#N/A</v>
      </c>
      <c r="Q204" s="177"/>
      <c r="R204" s="177"/>
      <c r="S204" s="177"/>
      <c r="T204" s="177"/>
      <c r="U204" s="177"/>
      <c r="V204" s="22"/>
      <c r="W204" s="22"/>
      <c r="X204" s="22"/>
      <c r="Y204" s="22"/>
      <c r="Z204" s="22"/>
      <c r="AA204" s="22"/>
      <c r="AB204" s="22"/>
    </row>
    <row r="205" spans="1:28" ht="16">
      <c r="A205" s="190">
        <f t="shared" si="7"/>
        <v>199</v>
      </c>
      <c r="B205" s="191"/>
      <c r="C205" s="191"/>
      <c r="D205" s="192"/>
      <c r="E205" s="199" t="e">
        <f>VLOOKUP($C205,xe!$A:$B,2,0)</f>
        <v>#N/A</v>
      </c>
      <c r="F205" s="194" t="e">
        <f>VLOOKUP($B205,ma!$A:$B,2,0)</f>
        <v>#N/A</v>
      </c>
      <c r="G205" s="195"/>
      <c r="H205" s="195"/>
      <c r="I205" s="196"/>
      <c r="J205" s="195"/>
      <c r="K205" s="196"/>
      <c r="L205" s="195"/>
      <c r="M205" s="197"/>
      <c r="N205" s="198" t="e">
        <f>VLOOKUP($B205,ma!$A:$C,3,0)</f>
        <v>#N/A</v>
      </c>
      <c r="O205" s="198" t="e">
        <f t="shared" si="0"/>
        <v>#N/A</v>
      </c>
      <c r="P205" s="198" t="e">
        <f t="shared" si="11"/>
        <v>#N/A</v>
      </c>
      <c r="Q205" s="177"/>
      <c r="R205" s="177"/>
      <c r="S205" s="177"/>
      <c r="T205" s="177"/>
      <c r="U205" s="177"/>
      <c r="V205" s="22"/>
      <c r="W205" s="22"/>
      <c r="X205" s="22"/>
      <c r="Y205" s="22"/>
      <c r="Z205" s="22"/>
      <c r="AA205" s="22"/>
      <c r="AB205" s="22"/>
    </row>
    <row r="206" spans="1:28" ht="16">
      <c r="A206" s="190">
        <f t="shared" si="7"/>
        <v>200</v>
      </c>
      <c r="B206" s="191"/>
      <c r="C206" s="191"/>
      <c r="D206" s="192"/>
      <c r="E206" s="199" t="e">
        <f>VLOOKUP($C206,xe!$A:$B,2,0)</f>
        <v>#N/A</v>
      </c>
      <c r="F206" s="194" t="e">
        <f>VLOOKUP($B206,ma!$A:$B,2,0)</f>
        <v>#N/A</v>
      </c>
      <c r="G206" s="195"/>
      <c r="H206" s="195"/>
      <c r="I206" s="196"/>
      <c r="J206" s="195"/>
      <c r="K206" s="196"/>
      <c r="L206" s="195"/>
      <c r="M206" s="197"/>
      <c r="N206" s="198" t="e">
        <f>VLOOKUP($B206,ma!$A:$C,3,0)</f>
        <v>#N/A</v>
      </c>
      <c r="O206" s="198" t="e">
        <f t="shared" si="0"/>
        <v>#N/A</v>
      </c>
      <c r="P206" s="198" t="e">
        <f t="shared" si="11"/>
        <v>#N/A</v>
      </c>
      <c r="Q206" s="177"/>
      <c r="R206" s="177"/>
      <c r="S206" s="177"/>
      <c r="T206" s="177"/>
      <c r="U206" s="177"/>
      <c r="V206" s="22"/>
      <c r="W206" s="22"/>
      <c r="X206" s="22"/>
      <c r="Y206" s="22"/>
      <c r="Z206" s="22"/>
      <c r="AA206" s="22"/>
      <c r="AB206" s="22"/>
    </row>
    <row r="207" spans="1:28" ht="16">
      <c r="A207" s="190">
        <f t="shared" si="7"/>
        <v>201</v>
      </c>
      <c r="B207" s="191"/>
      <c r="C207" s="191"/>
      <c r="D207" s="192"/>
      <c r="E207" s="199" t="e">
        <f>VLOOKUP($C207,xe!$A:$B,2,0)</f>
        <v>#N/A</v>
      </c>
      <c r="F207" s="194" t="e">
        <f>VLOOKUP($B207,ma!$A:$B,2,0)</f>
        <v>#N/A</v>
      </c>
      <c r="G207" s="195"/>
      <c r="H207" s="195"/>
      <c r="I207" s="196"/>
      <c r="J207" s="195"/>
      <c r="K207" s="196"/>
      <c r="L207" s="195"/>
      <c r="M207" s="197"/>
      <c r="N207" s="198" t="e">
        <f>VLOOKUP($B207,ma!$A:$C,3,0)</f>
        <v>#N/A</v>
      </c>
      <c r="O207" s="198" t="e">
        <f t="shared" si="0"/>
        <v>#N/A</v>
      </c>
      <c r="P207" s="198" t="e">
        <f t="shared" si="11"/>
        <v>#N/A</v>
      </c>
      <c r="Q207" s="177"/>
      <c r="R207" s="177"/>
      <c r="S207" s="177"/>
      <c r="T207" s="177"/>
      <c r="U207" s="177"/>
      <c r="V207" s="22"/>
      <c r="W207" s="22"/>
      <c r="X207" s="22"/>
      <c r="Y207" s="22"/>
      <c r="Z207" s="22"/>
      <c r="AA207" s="22"/>
      <c r="AB207" s="22"/>
    </row>
    <row r="208" spans="1:28" ht="16">
      <c r="A208" s="190">
        <f t="shared" si="7"/>
        <v>202</v>
      </c>
      <c r="B208" s="191"/>
      <c r="C208" s="191"/>
      <c r="D208" s="192"/>
      <c r="E208" s="199" t="e">
        <f>VLOOKUP($C208,xe!$A:$B,2,0)</f>
        <v>#N/A</v>
      </c>
      <c r="F208" s="194" t="e">
        <f>VLOOKUP($B208,ma!$A:$B,2,0)</f>
        <v>#N/A</v>
      </c>
      <c r="G208" s="195"/>
      <c r="H208" s="195"/>
      <c r="I208" s="196"/>
      <c r="J208" s="195"/>
      <c r="K208" s="196"/>
      <c r="L208" s="195"/>
      <c r="M208" s="197"/>
      <c r="N208" s="198" t="e">
        <f>VLOOKUP($B208,ma!$A:$C,3,0)</f>
        <v>#N/A</v>
      </c>
      <c r="O208" s="198" t="e">
        <f t="shared" si="0"/>
        <v>#N/A</v>
      </c>
      <c r="P208" s="198" t="e">
        <f t="shared" si="11"/>
        <v>#N/A</v>
      </c>
      <c r="Q208" s="177"/>
      <c r="R208" s="177"/>
      <c r="S208" s="177"/>
      <c r="T208" s="177"/>
      <c r="U208" s="177"/>
      <c r="V208" s="22"/>
      <c r="W208" s="22"/>
      <c r="X208" s="22"/>
      <c r="Y208" s="22"/>
      <c r="Z208" s="22"/>
      <c r="AA208" s="22"/>
      <c r="AB208" s="22"/>
    </row>
    <row r="209" spans="1:28" ht="16">
      <c r="A209" s="190">
        <f t="shared" si="7"/>
        <v>203</v>
      </c>
      <c r="B209" s="191"/>
      <c r="C209" s="191"/>
      <c r="D209" s="192"/>
      <c r="E209" s="199" t="e">
        <f>VLOOKUP($C209,xe!$A:$B,2,0)</f>
        <v>#N/A</v>
      </c>
      <c r="F209" s="194" t="e">
        <f>VLOOKUP($B209,ma!$A:$B,2,0)</f>
        <v>#N/A</v>
      </c>
      <c r="G209" s="195"/>
      <c r="H209" s="195"/>
      <c r="I209" s="196"/>
      <c r="J209" s="195"/>
      <c r="K209" s="196"/>
      <c r="L209" s="195"/>
      <c r="M209" s="197"/>
      <c r="N209" s="198" t="e">
        <f>VLOOKUP($B209,ma!$A:$C,3,0)</f>
        <v>#N/A</v>
      </c>
      <c r="O209" s="198" t="e">
        <f t="shared" si="0"/>
        <v>#N/A</v>
      </c>
      <c r="P209" s="198" t="e">
        <f t="shared" si="11"/>
        <v>#N/A</v>
      </c>
      <c r="Q209" s="177"/>
      <c r="R209" s="177"/>
      <c r="S209" s="177"/>
      <c r="T209" s="177"/>
      <c r="U209" s="177"/>
      <c r="V209" s="22"/>
      <c r="W209" s="22"/>
      <c r="X209" s="22"/>
      <c r="Y209" s="22"/>
      <c r="Z209" s="22"/>
      <c r="AA209" s="22"/>
      <c r="AB209" s="22"/>
    </row>
    <row r="210" spans="1:28" ht="16">
      <c r="A210" s="190">
        <f t="shared" si="7"/>
        <v>204</v>
      </c>
      <c r="B210" s="191"/>
      <c r="C210" s="191"/>
      <c r="D210" s="192"/>
      <c r="E210" s="199" t="e">
        <f>VLOOKUP($C210,xe!$A:$B,2,0)</f>
        <v>#N/A</v>
      </c>
      <c r="F210" s="194" t="e">
        <f>VLOOKUP($B210,ma!$A:$B,2,0)</f>
        <v>#N/A</v>
      </c>
      <c r="G210" s="195"/>
      <c r="H210" s="195"/>
      <c r="I210" s="196"/>
      <c r="J210" s="195"/>
      <c r="K210" s="196"/>
      <c r="L210" s="195"/>
      <c r="M210" s="197"/>
      <c r="N210" s="198" t="e">
        <f>VLOOKUP($B210,ma!$A:$C,3,0)</f>
        <v>#N/A</v>
      </c>
      <c r="O210" s="198" t="e">
        <f t="shared" si="0"/>
        <v>#N/A</v>
      </c>
      <c r="P210" s="198" t="e">
        <f t="shared" si="11"/>
        <v>#N/A</v>
      </c>
      <c r="Q210" s="177"/>
      <c r="R210" s="177"/>
      <c r="S210" s="177"/>
      <c r="T210" s="177"/>
      <c r="U210" s="177"/>
      <c r="V210" s="22"/>
      <c r="W210" s="22"/>
      <c r="X210" s="22"/>
      <c r="Y210" s="22"/>
      <c r="Z210" s="22"/>
      <c r="AA210" s="22"/>
      <c r="AB210" s="22"/>
    </row>
    <row r="211" spans="1:28" ht="16">
      <c r="A211" s="190">
        <f t="shared" si="7"/>
        <v>205</v>
      </c>
      <c r="B211" s="191"/>
      <c r="C211" s="191"/>
      <c r="D211" s="192"/>
      <c r="E211" s="199" t="e">
        <f>VLOOKUP($C211,xe!$A:$B,2,0)</f>
        <v>#N/A</v>
      </c>
      <c r="F211" s="194" t="e">
        <f>VLOOKUP($B211,ma!$A:$B,2,0)</f>
        <v>#N/A</v>
      </c>
      <c r="G211" s="195"/>
      <c r="H211" s="195"/>
      <c r="I211" s="196"/>
      <c r="J211" s="195"/>
      <c r="K211" s="196"/>
      <c r="L211" s="195"/>
      <c r="M211" s="197"/>
      <c r="N211" s="198" t="e">
        <f>VLOOKUP($B211,ma!$A:$C,3,0)</f>
        <v>#N/A</v>
      </c>
      <c r="O211" s="198" t="e">
        <f t="shared" si="0"/>
        <v>#N/A</v>
      </c>
      <c r="P211" s="198" t="e">
        <f t="shared" si="11"/>
        <v>#N/A</v>
      </c>
      <c r="Q211" s="209"/>
      <c r="R211" s="209"/>
      <c r="S211" s="209"/>
      <c r="T211" s="209"/>
      <c r="U211" s="209"/>
      <c r="V211" s="210"/>
      <c r="W211" s="210"/>
      <c r="X211" s="210"/>
      <c r="Y211" s="210"/>
      <c r="Z211" s="210"/>
      <c r="AA211" s="210"/>
      <c r="AB211" s="210"/>
    </row>
    <row r="212" spans="1:28" ht="16">
      <c r="A212" s="190">
        <f t="shared" si="7"/>
        <v>206</v>
      </c>
      <c r="B212" s="191"/>
      <c r="C212" s="191"/>
      <c r="D212" s="192"/>
      <c r="E212" s="199" t="e">
        <f>VLOOKUP($C212,xe!$A:$B,2,0)</f>
        <v>#N/A</v>
      </c>
      <c r="F212" s="194" t="e">
        <f>VLOOKUP($B212,ma!$A:$B,2,0)</f>
        <v>#N/A</v>
      </c>
      <c r="G212" s="195"/>
      <c r="H212" s="195"/>
      <c r="I212" s="196"/>
      <c r="J212" s="195"/>
      <c r="K212" s="196"/>
      <c r="L212" s="195"/>
      <c r="M212" s="197"/>
      <c r="N212" s="198" t="e">
        <f>VLOOKUP($B212,ma!$A:$C,3,0)</f>
        <v>#N/A</v>
      </c>
      <c r="O212" s="198" t="e">
        <f t="shared" si="0"/>
        <v>#N/A</v>
      </c>
      <c r="P212" s="198" t="e">
        <f t="shared" si="11"/>
        <v>#N/A</v>
      </c>
      <c r="Q212" s="177"/>
      <c r="R212" s="177"/>
      <c r="S212" s="177"/>
      <c r="T212" s="177"/>
      <c r="U212" s="177"/>
      <c r="V212" s="22"/>
      <c r="W212" s="22"/>
      <c r="X212" s="22"/>
      <c r="Y212" s="22"/>
      <c r="Z212" s="22"/>
      <c r="AA212" s="22"/>
      <c r="AB212" s="22"/>
    </row>
    <row r="213" spans="1:28" ht="16">
      <c r="A213" s="190">
        <f t="shared" si="7"/>
        <v>207</v>
      </c>
      <c r="B213" s="191"/>
      <c r="C213" s="191"/>
      <c r="D213" s="192"/>
      <c r="E213" s="199" t="e">
        <f>VLOOKUP($C213,xe!$A:$B,2,0)</f>
        <v>#N/A</v>
      </c>
      <c r="F213" s="194" t="e">
        <f>VLOOKUP($B213,ma!$A:$B,2,0)</f>
        <v>#N/A</v>
      </c>
      <c r="G213" s="195"/>
      <c r="H213" s="195"/>
      <c r="I213" s="196"/>
      <c r="J213" s="195"/>
      <c r="K213" s="196"/>
      <c r="L213" s="195"/>
      <c r="M213" s="197"/>
      <c r="N213" s="198" t="e">
        <f>VLOOKUP($B213,ma!$A:$C,3,0)</f>
        <v>#N/A</v>
      </c>
      <c r="O213" s="198" t="e">
        <f t="shared" si="0"/>
        <v>#N/A</v>
      </c>
      <c r="P213" s="198" t="e">
        <f t="shared" si="11"/>
        <v>#N/A</v>
      </c>
      <c r="Q213" s="177"/>
      <c r="R213" s="177"/>
      <c r="S213" s="177"/>
      <c r="T213" s="177"/>
      <c r="U213" s="177"/>
      <c r="V213" s="22"/>
      <c r="W213" s="22"/>
      <c r="X213" s="22"/>
      <c r="Y213" s="22"/>
      <c r="Z213" s="22"/>
      <c r="AA213" s="22"/>
      <c r="AB213" s="22"/>
    </row>
    <row r="214" spans="1:28" ht="16">
      <c r="A214" s="190">
        <f t="shared" si="7"/>
        <v>208</v>
      </c>
      <c r="B214" s="191"/>
      <c r="C214" s="191"/>
      <c r="D214" s="192"/>
      <c r="E214" s="199" t="e">
        <f>VLOOKUP($C214,xe!$A:$B,2,0)</f>
        <v>#N/A</v>
      </c>
      <c r="F214" s="194" t="e">
        <f>VLOOKUP($B214,ma!$A:$B,2,0)</f>
        <v>#N/A</v>
      </c>
      <c r="G214" s="195"/>
      <c r="H214" s="195"/>
      <c r="I214" s="196"/>
      <c r="J214" s="195"/>
      <c r="K214" s="196"/>
      <c r="L214" s="195"/>
      <c r="M214" s="197"/>
      <c r="N214" s="198" t="e">
        <f>VLOOKUP($B214,ma!$A:$C,3,0)</f>
        <v>#N/A</v>
      </c>
      <c r="O214" s="198" t="e">
        <f t="shared" si="0"/>
        <v>#N/A</v>
      </c>
      <c r="P214" s="198" t="e">
        <f t="shared" si="11"/>
        <v>#N/A</v>
      </c>
      <c r="Q214" s="177"/>
      <c r="R214" s="177"/>
      <c r="S214" s="177"/>
      <c r="T214" s="177"/>
      <c r="U214" s="177"/>
      <c r="V214" s="22"/>
      <c r="W214" s="22"/>
      <c r="X214" s="22"/>
      <c r="Y214" s="22"/>
      <c r="Z214" s="22"/>
      <c r="AA214" s="22"/>
      <c r="AB214" s="22"/>
    </row>
    <row r="215" spans="1:28" ht="16">
      <c r="A215" s="190">
        <f t="shared" si="7"/>
        <v>209</v>
      </c>
      <c r="B215" s="191"/>
      <c r="C215" s="191"/>
      <c r="D215" s="192"/>
      <c r="E215" s="199" t="e">
        <f>VLOOKUP($C215,xe!$A:$B,2,0)</f>
        <v>#N/A</v>
      </c>
      <c r="F215" s="194" t="e">
        <f>VLOOKUP($B215,ma!$A:$B,2,0)</f>
        <v>#N/A</v>
      </c>
      <c r="G215" s="195"/>
      <c r="H215" s="195"/>
      <c r="I215" s="196"/>
      <c r="J215" s="195"/>
      <c r="K215" s="196"/>
      <c r="L215" s="195"/>
      <c r="M215" s="197"/>
      <c r="N215" s="198" t="e">
        <f>VLOOKUP($B215,ma!$A:$C,3,0)</f>
        <v>#N/A</v>
      </c>
      <c r="O215" s="198" t="e">
        <f t="shared" si="0"/>
        <v>#N/A</v>
      </c>
      <c r="P215" s="198" t="e">
        <f t="shared" si="11"/>
        <v>#N/A</v>
      </c>
      <c r="Q215" s="177"/>
      <c r="R215" s="177"/>
      <c r="S215" s="177"/>
      <c r="T215" s="177"/>
      <c r="U215" s="177"/>
      <c r="V215" s="22"/>
      <c r="W215" s="22"/>
      <c r="X215" s="22"/>
      <c r="Y215" s="22"/>
      <c r="Z215" s="22"/>
      <c r="AA215" s="22"/>
      <c r="AB215" s="22"/>
    </row>
    <row r="216" spans="1:28" ht="16">
      <c r="A216" s="190">
        <f t="shared" si="7"/>
        <v>210</v>
      </c>
      <c r="B216" s="191"/>
      <c r="C216" s="191"/>
      <c r="D216" s="192"/>
      <c r="E216" s="199" t="e">
        <f>VLOOKUP($C216,xe!$A:$B,2,0)</f>
        <v>#N/A</v>
      </c>
      <c r="F216" s="194" t="e">
        <f>VLOOKUP($B216,ma!$A:$B,2,0)</f>
        <v>#N/A</v>
      </c>
      <c r="G216" s="195"/>
      <c r="H216" s="195"/>
      <c r="I216" s="196"/>
      <c r="J216" s="195"/>
      <c r="K216" s="196"/>
      <c r="L216" s="195"/>
      <c r="M216" s="197"/>
      <c r="N216" s="198" t="e">
        <f>VLOOKUP($B216,ma!$A:$C,3,0)</f>
        <v>#N/A</v>
      </c>
      <c r="O216" s="198" t="e">
        <f t="shared" si="0"/>
        <v>#N/A</v>
      </c>
      <c r="P216" s="198" t="e">
        <f t="shared" si="11"/>
        <v>#N/A</v>
      </c>
      <c r="Q216" s="177"/>
      <c r="R216" s="177"/>
      <c r="S216" s="177"/>
      <c r="T216" s="177"/>
      <c r="U216" s="177"/>
      <c r="V216" s="22"/>
      <c r="W216" s="22"/>
      <c r="X216" s="22"/>
      <c r="Y216" s="22"/>
      <c r="Z216" s="22"/>
      <c r="AA216" s="22"/>
      <c r="AB216" s="22"/>
    </row>
    <row r="217" spans="1:28" ht="16">
      <c r="A217" s="190">
        <f t="shared" si="7"/>
        <v>211</v>
      </c>
      <c r="B217" s="191"/>
      <c r="C217" s="191"/>
      <c r="D217" s="192"/>
      <c r="E217" s="199" t="e">
        <f>VLOOKUP($C217,xe!$A:$B,2,0)</f>
        <v>#N/A</v>
      </c>
      <c r="F217" s="194" t="e">
        <f>VLOOKUP($B217,ma!$A:$B,2,0)</f>
        <v>#N/A</v>
      </c>
      <c r="G217" s="195"/>
      <c r="H217" s="195"/>
      <c r="I217" s="196"/>
      <c r="J217" s="195"/>
      <c r="K217" s="196"/>
      <c r="L217" s="195"/>
      <c r="M217" s="197"/>
      <c r="N217" s="198" t="e">
        <f>VLOOKUP($B217,ma!$A:$C,3,0)</f>
        <v>#N/A</v>
      </c>
      <c r="O217" s="198" t="e">
        <f t="shared" si="0"/>
        <v>#N/A</v>
      </c>
      <c r="P217" s="198" t="e">
        <f t="shared" si="11"/>
        <v>#N/A</v>
      </c>
      <c r="Q217" s="177"/>
      <c r="R217" s="177"/>
      <c r="S217" s="177"/>
      <c r="T217" s="177"/>
      <c r="U217" s="177"/>
      <c r="V217" s="22"/>
      <c r="W217" s="22"/>
      <c r="X217" s="22"/>
      <c r="Y217" s="22"/>
      <c r="Z217" s="22"/>
      <c r="AA217" s="22"/>
      <c r="AB217" s="22"/>
    </row>
    <row r="218" spans="1:28" ht="16">
      <c r="A218" s="190">
        <f t="shared" si="7"/>
        <v>212</v>
      </c>
      <c r="B218" s="191"/>
      <c r="C218" s="191"/>
      <c r="D218" s="192"/>
      <c r="E218" s="199" t="e">
        <f>VLOOKUP($C218,xe!$A:$B,2,0)</f>
        <v>#N/A</v>
      </c>
      <c r="F218" s="194" t="e">
        <f>VLOOKUP($B218,ma!$A:$B,2,0)</f>
        <v>#N/A</v>
      </c>
      <c r="G218" s="195"/>
      <c r="H218" s="195"/>
      <c r="I218" s="196"/>
      <c r="J218" s="195"/>
      <c r="K218" s="196"/>
      <c r="L218" s="195"/>
      <c r="M218" s="197"/>
      <c r="N218" s="198" t="e">
        <f>VLOOKUP($B218,ma!$A:$C,3,0)</f>
        <v>#N/A</v>
      </c>
      <c r="O218" s="198" t="e">
        <f t="shared" si="0"/>
        <v>#N/A</v>
      </c>
      <c r="P218" s="198" t="e">
        <f t="shared" si="11"/>
        <v>#N/A</v>
      </c>
      <c r="Q218" s="177"/>
      <c r="R218" s="177"/>
      <c r="S218" s="177"/>
      <c r="T218" s="177"/>
      <c r="U218" s="177"/>
      <c r="V218" s="22"/>
      <c r="W218" s="22"/>
      <c r="X218" s="22"/>
      <c r="Y218" s="22"/>
      <c r="Z218" s="22"/>
      <c r="AA218" s="22"/>
      <c r="AB218" s="22"/>
    </row>
    <row r="219" spans="1:28" ht="16">
      <c r="A219" s="190">
        <f t="shared" si="7"/>
        <v>213</v>
      </c>
      <c r="B219" s="191"/>
      <c r="C219" s="191"/>
      <c r="D219" s="192"/>
      <c r="E219" s="199" t="e">
        <f>VLOOKUP($C219,xe!$A:$B,2,0)</f>
        <v>#N/A</v>
      </c>
      <c r="F219" s="194" t="e">
        <f>VLOOKUP($B219,ma!$A:$B,2,0)</f>
        <v>#N/A</v>
      </c>
      <c r="G219" s="195"/>
      <c r="H219" s="195"/>
      <c r="I219" s="196"/>
      <c r="J219" s="195"/>
      <c r="K219" s="196"/>
      <c r="L219" s="195"/>
      <c r="M219" s="197"/>
      <c r="N219" s="198" t="e">
        <f>VLOOKUP($B219,ma!$A:$C,3,0)</f>
        <v>#N/A</v>
      </c>
      <c r="O219" s="198" t="e">
        <f t="shared" si="0"/>
        <v>#N/A</v>
      </c>
      <c r="P219" s="198" t="e">
        <f t="shared" si="11"/>
        <v>#N/A</v>
      </c>
      <c r="Q219" s="209"/>
      <c r="R219" s="209"/>
      <c r="S219" s="209"/>
      <c r="T219" s="209"/>
      <c r="U219" s="209"/>
      <c r="V219" s="210"/>
      <c r="W219" s="210"/>
      <c r="X219" s="210"/>
      <c r="Y219" s="210"/>
      <c r="Z219" s="210"/>
      <c r="AA219" s="210"/>
      <c r="AB219" s="210"/>
    </row>
    <row r="220" spans="1:28" ht="16">
      <c r="A220" s="190">
        <f t="shared" si="7"/>
        <v>214</v>
      </c>
      <c r="B220" s="191"/>
      <c r="C220" s="191"/>
      <c r="D220" s="192"/>
      <c r="E220" s="199" t="e">
        <f>VLOOKUP($C220,xe!$A:$B,2,0)</f>
        <v>#N/A</v>
      </c>
      <c r="F220" s="194" t="e">
        <f>VLOOKUP($B220,ma!$A:$B,2,0)</f>
        <v>#N/A</v>
      </c>
      <c r="G220" s="195"/>
      <c r="H220" s="195"/>
      <c r="I220" s="196"/>
      <c r="J220" s="195"/>
      <c r="K220" s="196"/>
      <c r="L220" s="195"/>
      <c r="M220" s="197"/>
      <c r="N220" s="198" t="e">
        <f>VLOOKUP($B220,ma!$A:$C,3,0)</f>
        <v>#N/A</v>
      </c>
      <c r="O220" s="198" t="e">
        <f t="shared" si="0"/>
        <v>#N/A</v>
      </c>
      <c r="P220" s="198" t="e">
        <f t="shared" si="11"/>
        <v>#N/A</v>
      </c>
      <c r="Q220" s="177"/>
      <c r="R220" s="177"/>
      <c r="S220" s="177"/>
      <c r="T220" s="177"/>
      <c r="U220" s="177"/>
      <c r="V220" s="22"/>
      <c r="W220" s="22"/>
      <c r="X220" s="22"/>
      <c r="Y220" s="22"/>
      <c r="Z220" s="22"/>
      <c r="AA220" s="22"/>
      <c r="AB220" s="22"/>
    </row>
    <row r="221" spans="1:28" ht="16">
      <c r="A221" s="190">
        <f t="shared" si="7"/>
        <v>215</v>
      </c>
      <c r="B221" s="191"/>
      <c r="C221" s="191"/>
      <c r="D221" s="192"/>
      <c r="E221" s="199" t="e">
        <f>VLOOKUP($C221,xe!$A:$B,2,0)</f>
        <v>#N/A</v>
      </c>
      <c r="F221" s="194" t="e">
        <f>VLOOKUP($B221,ma!$A:$B,2,0)</f>
        <v>#N/A</v>
      </c>
      <c r="G221" s="195"/>
      <c r="H221" s="195"/>
      <c r="I221" s="196"/>
      <c r="J221" s="195"/>
      <c r="K221" s="196"/>
      <c r="L221" s="195"/>
      <c r="M221" s="197"/>
      <c r="N221" s="198" t="e">
        <f>VLOOKUP($B221,ma!$A:$C,3,0)</f>
        <v>#N/A</v>
      </c>
      <c r="O221" s="198" t="e">
        <f t="shared" si="0"/>
        <v>#N/A</v>
      </c>
      <c r="P221" s="198" t="e">
        <f t="shared" si="11"/>
        <v>#N/A</v>
      </c>
      <c r="Q221" s="177"/>
      <c r="R221" s="177"/>
      <c r="S221" s="177"/>
      <c r="T221" s="177"/>
      <c r="U221" s="177"/>
      <c r="V221" s="22"/>
      <c r="W221" s="22"/>
      <c r="X221" s="22"/>
      <c r="Y221" s="22"/>
      <c r="Z221" s="22"/>
      <c r="AA221" s="22"/>
      <c r="AB221" s="22"/>
    </row>
    <row r="222" spans="1:28" ht="16">
      <c r="A222" s="190">
        <f t="shared" si="7"/>
        <v>216</v>
      </c>
      <c r="B222" s="191"/>
      <c r="C222" s="191"/>
      <c r="D222" s="192"/>
      <c r="E222" s="199" t="e">
        <f>VLOOKUP($C222,xe!$A:$B,2,0)</f>
        <v>#N/A</v>
      </c>
      <c r="F222" s="194" t="e">
        <f>VLOOKUP($B222,ma!$A:$B,2,0)</f>
        <v>#N/A</v>
      </c>
      <c r="G222" s="195"/>
      <c r="H222" s="195"/>
      <c r="I222" s="196"/>
      <c r="J222" s="195"/>
      <c r="K222" s="196"/>
      <c r="L222" s="195"/>
      <c r="M222" s="197"/>
      <c r="N222" s="198" t="e">
        <f>VLOOKUP($B222,ma!$A:$C,3,0)</f>
        <v>#N/A</v>
      </c>
      <c r="O222" s="198" t="e">
        <f t="shared" si="0"/>
        <v>#N/A</v>
      </c>
      <c r="P222" s="198" t="e">
        <f t="shared" si="11"/>
        <v>#N/A</v>
      </c>
      <c r="Q222" s="177"/>
      <c r="R222" s="177"/>
      <c r="S222" s="177"/>
      <c r="T222" s="177"/>
      <c r="U222" s="177"/>
      <c r="V222" s="22"/>
      <c r="W222" s="22"/>
      <c r="X222" s="22"/>
      <c r="Y222" s="22"/>
      <c r="Z222" s="22"/>
      <c r="AA222" s="22"/>
      <c r="AB222" s="22"/>
    </row>
    <row r="223" spans="1:28" ht="16">
      <c r="A223" s="190">
        <f t="shared" si="7"/>
        <v>217</v>
      </c>
      <c r="B223" s="191"/>
      <c r="C223" s="191"/>
      <c r="D223" s="192"/>
      <c r="E223" s="199" t="e">
        <f>VLOOKUP($C223,xe!$A:$B,2,0)</f>
        <v>#N/A</v>
      </c>
      <c r="F223" s="194" t="e">
        <f>VLOOKUP($B223,ma!$A:$B,2,0)</f>
        <v>#N/A</v>
      </c>
      <c r="G223" s="195"/>
      <c r="H223" s="195"/>
      <c r="I223" s="196"/>
      <c r="J223" s="195"/>
      <c r="K223" s="196"/>
      <c r="L223" s="195"/>
      <c r="M223" s="197"/>
      <c r="N223" s="198" t="e">
        <f>VLOOKUP($B223,ma!$A:$C,3,0)</f>
        <v>#N/A</v>
      </c>
      <c r="O223" s="198" t="e">
        <f t="shared" si="0"/>
        <v>#N/A</v>
      </c>
      <c r="P223" s="198" t="e">
        <f t="shared" si="11"/>
        <v>#N/A</v>
      </c>
      <c r="Q223" s="177"/>
      <c r="R223" s="177"/>
      <c r="S223" s="177"/>
      <c r="T223" s="177"/>
      <c r="U223" s="177"/>
      <c r="V223" s="22"/>
      <c r="W223" s="22"/>
      <c r="X223" s="22"/>
      <c r="Y223" s="22"/>
      <c r="Z223" s="22"/>
      <c r="AA223" s="22"/>
      <c r="AB223" s="22"/>
    </row>
    <row r="224" spans="1:28" ht="16">
      <c r="A224" s="190">
        <f t="shared" si="7"/>
        <v>218</v>
      </c>
      <c r="B224" s="191"/>
      <c r="C224" s="191"/>
      <c r="D224" s="192"/>
      <c r="E224" s="199" t="e">
        <f>VLOOKUP($C224,xe!$A:$B,2,0)</f>
        <v>#N/A</v>
      </c>
      <c r="F224" s="194" t="e">
        <f>VLOOKUP($B224,ma!$A:$B,2,0)</f>
        <v>#N/A</v>
      </c>
      <c r="G224" s="195"/>
      <c r="H224" s="195"/>
      <c r="I224" s="196"/>
      <c r="J224" s="195"/>
      <c r="K224" s="196"/>
      <c r="L224" s="195"/>
      <c r="M224" s="197"/>
      <c r="N224" s="198" t="e">
        <f>VLOOKUP($B224,ma!$A:$C,3,0)</f>
        <v>#N/A</v>
      </c>
      <c r="O224" s="198" t="e">
        <f t="shared" si="0"/>
        <v>#N/A</v>
      </c>
      <c r="P224" s="198" t="e">
        <f t="shared" si="11"/>
        <v>#N/A</v>
      </c>
      <c r="Q224" s="177"/>
      <c r="R224" s="177"/>
      <c r="S224" s="177"/>
      <c r="T224" s="177"/>
      <c r="U224" s="177"/>
      <c r="V224" s="22"/>
      <c r="W224" s="22"/>
      <c r="X224" s="22"/>
      <c r="Y224" s="22"/>
      <c r="Z224" s="22"/>
      <c r="AA224" s="22"/>
      <c r="AB224" s="22"/>
    </row>
    <row r="225" spans="1:28" ht="16">
      <c r="A225" s="190">
        <f t="shared" si="7"/>
        <v>219</v>
      </c>
      <c r="B225" s="191"/>
      <c r="C225" s="191"/>
      <c r="D225" s="192"/>
      <c r="E225" s="199" t="e">
        <f>VLOOKUP($C225,xe!$A:$B,2,0)</f>
        <v>#N/A</v>
      </c>
      <c r="F225" s="194" t="e">
        <f>VLOOKUP($B225,ma!$A:$B,2,0)</f>
        <v>#N/A</v>
      </c>
      <c r="G225" s="195"/>
      <c r="H225" s="195"/>
      <c r="I225" s="196"/>
      <c r="J225" s="195"/>
      <c r="K225" s="196"/>
      <c r="L225" s="195"/>
      <c r="M225" s="197"/>
      <c r="N225" s="198" t="e">
        <f>VLOOKUP($B225,ma!$A:$C,3,0)</f>
        <v>#N/A</v>
      </c>
      <c r="O225" s="198" t="e">
        <f t="shared" si="0"/>
        <v>#N/A</v>
      </c>
      <c r="P225" s="198" t="e">
        <f t="shared" si="11"/>
        <v>#N/A</v>
      </c>
      <c r="Q225" s="177"/>
      <c r="R225" s="177"/>
      <c r="S225" s="177"/>
      <c r="T225" s="177"/>
      <c r="U225" s="177"/>
      <c r="V225" s="22"/>
      <c r="W225" s="22"/>
      <c r="X225" s="22"/>
      <c r="Y225" s="22"/>
      <c r="Z225" s="22"/>
      <c r="AA225" s="22"/>
      <c r="AB225" s="22"/>
    </row>
    <row r="226" spans="1:28" ht="16">
      <c r="A226" s="190">
        <f t="shared" si="7"/>
        <v>220</v>
      </c>
      <c r="B226" s="191"/>
      <c r="C226" s="191"/>
      <c r="D226" s="192"/>
      <c r="E226" s="199" t="e">
        <f>VLOOKUP($C226,xe!$A:$B,2,0)</f>
        <v>#N/A</v>
      </c>
      <c r="F226" s="194" t="e">
        <f>VLOOKUP($B226,ma!$A:$B,2,0)</f>
        <v>#N/A</v>
      </c>
      <c r="G226" s="195"/>
      <c r="H226" s="195"/>
      <c r="I226" s="196"/>
      <c r="J226" s="195"/>
      <c r="K226" s="196"/>
      <c r="L226" s="195"/>
      <c r="M226" s="197"/>
      <c r="N226" s="198" t="e">
        <f>VLOOKUP($B226,ma!$A:$C,3,0)</f>
        <v>#N/A</v>
      </c>
      <c r="O226" s="198" t="e">
        <f t="shared" si="0"/>
        <v>#N/A</v>
      </c>
      <c r="P226" s="198" t="e">
        <f t="shared" si="11"/>
        <v>#N/A</v>
      </c>
      <c r="Q226" s="177"/>
      <c r="R226" s="177"/>
      <c r="S226" s="177"/>
      <c r="T226" s="177"/>
      <c r="U226" s="177"/>
      <c r="V226" s="22"/>
      <c r="W226" s="22"/>
      <c r="X226" s="22"/>
      <c r="Y226" s="22"/>
      <c r="Z226" s="22"/>
      <c r="AA226" s="22"/>
      <c r="AB226" s="22"/>
    </row>
    <row r="227" spans="1:28" ht="16">
      <c r="A227" s="190">
        <f t="shared" si="7"/>
        <v>221</v>
      </c>
      <c r="B227" s="191"/>
      <c r="C227" s="191"/>
      <c r="D227" s="192"/>
      <c r="E227" s="199" t="e">
        <f>VLOOKUP($C227,xe!$A:$B,2,0)</f>
        <v>#N/A</v>
      </c>
      <c r="F227" s="194" t="e">
        <f>VLOOKUP($B227,ma!$A:$B,2,0)</f>
        <v>#N/A</v>
      </c>
      <c r="G227" s="195"/>
      <c r="H227" s="195"/>
      <c r="I227" s="196"/>
      <c r="J227" s="195"/>
      <c r="K227" s="196"/>
      <c r="L227" s="195"/>
      <c r="M227" s="197"/>
      <c r="N227" s="198" t="e">
        <f>VLOOKUP($B227,ma!$A:$C,3,0)</f>
        <v>#N/A</v>
      </c>
      <c r="O227" s="198" t="e">
        <f t="shared" si="0"/>
        <v>#N/A</v>
      </c>
      <c r="P227" s="198" t="e">
        <f t="shared" si="11"/>
        <v>#N/A</v>
      </c>
      <c r="Q227" s="177"/>
      <c r="R227" s="177"/>
      <c r="S227" s="177"/>
      <c r="T227" s="177"/>
      <c r="U227" s="177"/>
      <c r="V227" s="22"/>
      <c r="W227" s="22"/>
      <c r="X227" s="22"/>
      <c r="Y227" s="22"/>
      <c r="Z227" s="22"/>
      <c r="AA227" s="22"/>
      <c r="AB227" s="22"/>
    </row>
    <row r="228" spans="1:28" ht="16">
      <c r="A228" s="190">
        <f t="shared" si="7"/>
        <v>222</v>
      </c>
      <c r="B228" s="191"/>
      <c r="C228" s="191"/>
      <c r="D228" s="192"/>
      <c r="E228" s="199" t="e">
        <f>VLOOKUP($C228,xe!$A:$B,2,0)</f>
        <v>#N/A</v>
      </c>
      <c r="F228" s="194" t="e">
        <f>VLOOKUP($B228,ma!$A:$B,2,0)</f>
        <v>#N/A</v>
      </c>
      <c r="G228" s="195"/>
      <c r="H228" s="195"/>
      <c r="I228" s="196"/>
      <c r="J228" s="195"/>
      <c r="K228" s="196"/>
      <c r="L228" s="195"/>
      <c r="M228" s="197"/>
      <c r="N228" s="198" t="e">
        <f>VLOOKUP($B228,ma!$A:$C,3,0)</f>
        <v>#N/A</v>
      </c>
      <c r="O228" s="198" t="e">
        <f t="shared" si="0"/>
        <v>#N/A</v>
      </c>
      <c r="P228" s="198" t="e">
        <f t="shared" si="11"/>
        <v>#N/A</v>
      </c>
      <c r="Q228" s="177"/>
      <c r="R228" s="177"/>
      <c r="S228" s="177"/>
      <c r="T228" s="177"/>
      <c r="U228" s="177"/>
      <c r="V228" s="22"/>
      <c r="W228" s="22"/>
      <c r="X228" s="22"/>
      <c r="Y228" s="22"/>
      <c r="Z228" s="22"/>
      <c r="AA228" s="22"/>
      <c r="AB228" s="22"/>
    </row>
    <row r="229" spans="1:28" ht="16">
      <c r="A229" s="190">
        <f t="shared" si="7"/>
        <v>223</v>
      </c>
      <c r="B229" s="191"/>
      <c r="C229" s="191"/>
      <c r="D229" s="192"/>
      <c r="E229" s="199" t="e">
        <f>VLOOKUP($C229,xe!$A:$B,2,0)</f>
        <v>#N/A</v>
      </c>
      <c r="F229" s="194" t="e">
        <f>VLOOKUP($B229,ma!$A:$B,2,0)</f>
        <v>#N/A</v>
      </c>
      <c r="G229" s="195"/>
      <c r="H229" s="195"/>
      <c r="I229" s="196"/>
      <c r="J229" s="195"/>
      <c r="K229" s="196"/>
      <c r="L229" s="195"/>
      <c r="M229" s="197"/>
      <c r="N229" s="198" t="e">
        <f>VLOOKUP($B229,ma!$A:$C,3,0)</f>
        <v>#N/A</v>
      </c>
      <c r="O229" s="198" t="e">
        <f t="shared" si="0"/>
        <v>#N/A</v>
      </c>
      <c r="P229" s="198" t="e">
        <f t="shared" si="11"/>
        <v>#N/A</v>
      </c>
      <c r="Q229" s="209"/>
      <c r="R229" s="209"/>
      <c r="S229" s="209"/>
      <c r="T229" s="209"/>
      <c r="U229" s="209"/>
      <c r="V229" s="210"/>
      <c r="W229" s="210"/>
      <c r="X229" s="210"/>
      <c r="Y229" s="210"/>
      <c r="Z229" s="210"/>
      <c r="AA229" s="210"/>
      <c r="AB229" s="210"/>
    </row>
    <row r="230" spans="1:28" ht="16">
      <c r="A230" s="190">
        <f t="shared" si="7"/>
        <v>224</v>
      </c>
      <c r="B230" s="191"/>
      <c r="C230" s="191"/>
      <c r="D230" s="192"/>
      <c r="E230" s="199" t="e">
        <f>VLOOKUP($C230,xe!$A:$B,2,0)</f>
        <v>#N/A</v>
      </c>
      <c r="F230" s="194" t="e">
        <f>VLOOKUP($B230,ma!$A:$B,2,0)</f>
        <v>#N/A</v>
      </c>
      <c r="G230" s="195"/>
      <c r="H230" s="195"/>
      <c r="I230" s="196"/>
      <c r="J230" s="195"/>
      <c r="K230" s="196"/>
      <c r="L230" s="195"/>
      <c r="M230" s="197"/>
      <c r="N230" s="198" t="e">
        <f>VLOOKUP($B230,ma!$A:$C,3,0)</f>
        <v>#N/A</v>
      </c>
      <c r="O230" s="198" t="e">
        <f t="shared" si="0"/>
        <v>#N/A</v>
      </c>
      <c r="P230" s="198" t="e">
        <f t="shared" si="11"/>
        <v>#N/A</v>
      </c>
      <c r="Q230" s="177"/>
      <c r="R230" s="177"/>
      <c r="S230" s="177"/>
      <c r="T230" s="177"/>
      <c r="U230" s="177"/>
      <c r="V230" s="22"/>
      <c r="W230" s="22"/>
      <c r="X230" s="22"/>
      <c r="Y230" s="22"/>
      <c r="Z230" s="22"/>
      <c r="AA230" s="22"/>
      <c r="AB230" s="22"/>
    </row>
    <row r="231" spans="1:28" ht="16">
      <c r="A231" s="190">
        <f t="shared" si="7"/>
        <v>225</v>
      </c>
      <c r="B231" s="191"/>
      <c r="C231" s="191"/>
      <c r="D231" s="192"/>
      <c r="E231" s="199" t="e">
        <f>VLOOKUP($C231,xe!$A:$B,2,0)</f>
        <v>#N/A</v>
      </c>
      <c r="F231" s="194" t="e">
        <f>VLOOKUP($B231,ma!$A:$B,2,0)</f>
        <v>#N/A</v>
      </c>
      <c r="G231" s="195"/>
      <c r="H231" s="195"/>
      <c r="I231" s="196"/>
      <c r="J231" s="195"/>
      <c r="K231" s="196"/>
      <c r="L231" s="195"/>
      <c r="M231" s="197"/>
      <c r="N231" s="198" t="e">
        <f>VLOOKUP($B231,ma!$A:$C,3,0)</f>
        <v>#N/A</v>
      </c>
      <c r="O231" s="198" t="e">
        <f t="shared" si="0"/>
        <v>#N/A</v>
      </c>
      <c r="P231" s="198" t="e">
        <f t="shared" si="11"/>
        <v>#N/A</v>
      </c>
      <c r="Q231" s="177"/>
      <c r="R231" s="177"/>
      <c r="S231" s="177"/>
      <c r="T231" s="177"/>
      <c r="U231" s="177"/>
      <c r="V231" s="22"/>
      <c r="W231" s="22"/>
      <c r="X231" s="22"/>
      <c r="Y231" s="22"/>
      <c r="Z231" s="22"/>
      <c r="AA231" s="22"/>
      <c r="AB231" s="22"/>
    </row>
    <row r="232" spans="1:28" ht="16">
      <c r="A232" s="190">
        <f t="shared" si="7"/>
        <v>226</v>
      </c>
      <c r="B232" s="191"/>
      <c r="C232" s="191"/>
      <c r="D232" s="192"/>
      <c r="E232" s="199" t="e">
        <f>VLOOKUP($C232,xe!$A:$B,2,0)</f>
        <v>#N/A</v>
      </c>
      <c r="F232" s="194" t="e">
        <f>VLOOKUP($B232,ma!$A:$B,2,0)</f>
        <v>#N/A</v>
      </c>
      <c r="G232" s="195"/>
      <c r="H232" s="195"/>
      <c r="I232" s="196"/>
      <c r="J232" s="195"/>
      <c r="K232" s="196"/>
      <c r="L232" s="195"/>
      <c r="M232" s="197"/>
      <c r="N232" s="198" t="e">
        <f>VLOOKUP($B232,ma!$A:$C,3,0)</f>
        <v>#N/A</v>
      </c>
      <c r="O232" s="198" t="e">
        <f t="shared" si="0"/>
        <v>#N/A</v>
      </c>
      <c r="P232" s="198" t="e">
        <f t="shared" si="11"/>
        <v>#N/A</v>
      </c>
      <c r="Q232" s="177"/>
      <c r="R232" s="177"/>
      <c r="S232" s="177"/>
      <c r="T232" s="177"/>
      <c r="U232" s="177"/>
      <c r="V232" s="22"/>
      <c r="W232" s="22"/>
      <c r="X232" s="22"/>
      <c r="Y232" s="22"/>
      <c r="Z232" s="22"/>
      <c r="AA232" s="22"/>
      <c r="AB232" s="22"/>
    </row>
    <row r="233" spans="1:28" ht="16">
      <c r="A233" s="190">
        <f t="shared" si="7"/>
        <v>227</v>
      </c>
      <c r="B233" s="191"/>
      <c r="C233" s="191"/>
      <c r="D233" s="192"/>
      <c r="E233" s="199" t="e">
        <f>VLOOKUP($C233,xe!$A:$B,2,0)</f>
        <v>#N/A</v>
      </c>
      <c r="F233" s="194" t="e">
        <f>VLOOKUP($B233,ma!$A:$B,2,0)</f>
        <v>#N/A</v>
      </c>
      <c r="G233" s="195"/>
      <c r="H233" s="195"/>
      <c r="I233" s="196"/>
      <c r="J233" s="195"/>
      <c r="K233" s="196"/>
      <c r="L233" s="195"/>
      <c r="M233" s="197"/>
      <c r="N233" s="198" t="e">
        <f>VLOOKUP($B233,ma!$A:$C,3,0)</f>
        <v>#N/A</v>
      </c>
      <c r="O233" s="198" t="e">
        <f t="shared" si="0"/>
        <v>#N/A</v>
      </c>
      <c r="P233" s="198" t="e">
        <f t="shared" si="11"/>
        <v>#N/A</v>
      </c>
      <c r="Q233" s="177"/>
      <c r="R233" s="177"/>
      <c r="S233" s="177"/>
      <c r="T233" s="177"/>
      <c r="U233" s="177"/>
      <c r="V233" s="22"/>
      <c r="W233" s="22"/>
      <c r="X233" s="22"/>
      <c r="Y233" s="22"/>
      <c r="Z233" s="22"/>
      <c r="AA233" s="22"/>
      <c r="AB233" s="22"/>
    </row>
    <row r="234" spans="1:28" ht="16">
      <c r="A234" s="190">
        <f t="shared" si="7"/>
        <v>228</v>
      </c>
      <c r="B234" s="191"/>
      <c r="C234" s="191"/>
      <c r="D234" s="192"/>
      <c r="E234" s="199" t="e">
        <f>VLOOKUP($C234,xe!$A:$B,2,0)</f>
        <v>#N/A</v>
      </c>
      <c r="F234" s="194" t="e">
        <f>VLOOKUP($B234,ma!$A:$B,2,0)</f>
        <v>#N/A</v>
      </c>
      <c r="G234" s="195"/>
      <c r="H234" s="195"/>
      <c r="I234" s="196"/>
      <c r="J234" s="195"/>
      <c r="K234" s="196"/>
      <c r="L234" s="195"/>
      <c r="M234" s="197"/>
      <c r="N234" s="198" t="e">
        <f>VLOOKUP($B234,ma!$A:$C,3,0)</f>
        <v>#N/A</v>
      </c>
      <c r="O234" s="198" t="e">
        <f t="shared" si="0"/>
        <v>#N/A</v>
      </c>
      <c r="P234" s="198" t="e">
        <f t="shared" si="11"/>
        <v>#N/A</v>
      </c>
      <c r="Q234" s="177"/>
      <c r="R234" s="177"/>
      <c r="S234" s="177"/>
      <c r="T234" s="177"/>
      <c r="U234" s="177"/>
      <c r="V234" s="22"/>
      <c r="W234" s="22"/>
      <c r="X234" s="22"/>
      <c r="Y234" s="22"/>
      <c r="Z234" s="22"/>
      <c r="AA234" s="22"/>
      <c r="AB234" s="22"/>
    </row>
    <row r="235" spans="1:28" ht="16">
      <c r="A235" s="190">
        <f t="shared" si="7"/>
        <v>229</v>
      </c>
      <c r="B235" s="191"/>
      <c r="C235" s="191"/>
      <c r="D235" s="192"/>
      <c r="E235" s="199" t="e">
        <f>VLOOKUP($C235,xe!$A:$B,2,0)</f>
        <v>#N/A</v>
      </c>
      <c r="F235" s="194" t="e">
        <f>VLOOKUP($B235,ma!$A:$B,2,0)</f>
        <v>#N/A</v>
      </c>
      <c r="G235" s="195"/>
      <c r="H235" s="195"/>
      <c r="I235" s="196"/>
      <c r="J235" s="195"/>
      <c r="K235" s="196"/>
      <c r="L235" s="195"/>
      <c r="M235" s="197"/>
      <c r="N235" s="198" t="e">
        <f>VLOOKUP($B235,ma!$A:$C,3,0)</f>
        <v>#N/A</v>
      </c>
      <c r="O235" s="198" t="e">
        <f t="shared" si="0"/>
        <v>#N/A</v>
      </c>
      <c r="P235" s="198" t="e">
        <f t="shared" si="11"/>
        <v>#N/A</v>
      </c>
      <c r="Q235" s="177"/>
      <c r="R235" s="177"/>
      <c r="S235" s="177"/>
      <c r="T235" s="177"/>
      <c r="U235" s="177"/>
      <c r="V235" s="22"/>
      <c r="W235" s="22"/>
      <c r="X235" s="22"/>
      <c r="Y235" s="22"/>
      <c r="Z235" s="22"/>
      <c r="AA235" s="22"/>
      <c r="AB235" s="22"/>
    </row>
    <row r="236" spans="1:28" ht="16">
      <c r="A236" s="190">
        <f t="shared" si="7"/>
        <v>230</v>
      </c>
      <c r="B236" s="191"/>
      <c r="C236" s="191"/>
      <c r="D236" s="192"/>
      <c r="E236" s="199" t="e">
        <f>VLOOKUP($C236,xe!$A:$B,2,0)</f>
        <v>#N/A</v>
      </c>
      <c r="F236" s="194" t="e">
        <f>VLOOKUP($B236,ma!$A:$B,2,0)</f>
        <v>#N/A</v>
      </c>
      <c r="G236" s="195"/>
      <c r="H236" s="195"/>
      <c r="I236" s="196"/>
      <c r="J236" s="195"/>
      <c r="K236" s="196"/>
      <c r="L236" s="195"/>
      <c r="M236" s="197"/>
      <c r="N236" s="198" t="e">
        <f>VLOOKUP($B236,ma!$A:$C,3,0)</f>
        <v>#N/A</v>
      </c>
      <c r="O236" s="198" t="e">
        <f t="shared" si="0"/>
        <v>#N/A</v>
      </c>
      <c r="P236" s="198" t="e">
        <f t="shared" si="11"/>
        <v>#N/A</v>
      </c>
      <c r="Q236" s="177"/>
      <c r="R236" s="177"/>
      <c r="S236" s="177"/>
      <c r="T236" s="177"/>
      <c r="U236" s="177"/>
      <c r="V236" s="22"/>
      <c r="W236" s="22"/>
      <c r="X236" s="22"/>
      <c r="Y236" s="22"/>
      <c r="Z236" s="22"/>
      <c r="AA236" s="22"/>
      <c r="AB236" s="22"/>
    </row>
    <row r="237" spans="1:28" ht="16">
      <c r="A237" s="190">
        <f t="shared" si="7"/>
        <v>231</v>
      </c>
      <c r="B237" s="191"/>
      <c r="C237" s="191"/>
      <c r="D237" s="192"/>
      <c r="E237" s="199" t="e">
        <f>VLOOKUP($C237,xe!$A:$B,2,0)</f>
        <v>#N/A</v>
      </c>
      <c r="F237" s="194" t="e">
        <f>VLOOKUP($B237,ma!$A:$B,2,0)</f>
        <v>#N/A</v>
      </c>
      <c r="G237" s="195"/>
      <c r="H237" s="195"/>
      <c r="I237" s="196"/>
      <c r="J237" s="195"/>
      <c r="K237" s="196"/>
      <c r="L237" s="195"/>
      <c r="M237" s="197"/>
      <c r="N237" s="198" t="e">
        <f>VLOOKUP($B237,ma!$A:$C,3,0)</f>
        <v>#N/A</v>
      </c>
      <c r="O237" s="198" t="e">
        <f t="shared" si="0"/>
        <v>#N/A</v>
      </c>
      <c r="P237" s="198" t="e">
        <f t="shared" si="11"/>
        <v>#N/A</v>
      </c>
      <c r="Q237" s="177"/>
      <c r="R237" s="177"/>
      <c r="S237" s="177"/>
      <c r="T237" s="177"/>
      <c r="U237" s="177"/>
      <c r="V237" s="22"/>
      <c r="W237" s="22"/>
      <c r="X237" s="22"/>
      <c r="Y237" s="22"/>
      <c r="Z237" s="22"/>
      <c r="AA237" s="22"/>
      <c r="AB237" s="22"/>
    </row>
    <row r="238" spans="1:28" ht="16">
      <c r="A238" s="190">
        <f t="shared" si="7"/>
        <v>232</v>
      </c>
      <c r="B238" s="191"/>
      <c r="C238" s="191"/>
      <c r="D238" s="192"/>
      <c r="E238" s="199" t="e">
        <f>VLOOKUP($C238,xe!$A:$B,2,0)</f>
        <v>#N/A</v>
      </c>
      <c r="F238" s="194" t="e">
        <f>VLOOKUP($B238,ma!$A:$B,2,0)</f>
        <v>#N/A</v>
      </c>
      <c r="G238" s="195"/>
      <c r="H238" s="195"/>
      <c r="I238" s="196"/>
      <c r="J238" s="195"/>
      <c r="K238" s="196"/>
      <c r="L238" s="195"/>
      <c r="M238" s="197"/>
      <c r="N238" s="198" t="e">
        <f>VLOOKUP($B238,ma!$A:$C,3,0)</f>
        <v>#N/A</v>
      </c>
      <c r="O238" s="198" t="e">
        <f t="shared" si="0"/>
        <v>#N/A</v>
      </c>
      <c r="P238" s="198" t="e">
        <f t="shared" si="11"/>
        <v>#N/A</v>
      </c>
      <c r="Q238" s="177"/>
      <c r="R238" s="177"/>
      <c r="S238" s="177"/>
      <c r="T238" s="177"/>
      <c r="U238" s="177"/>
      <c r="V238" s="22"/>
      <c r="W238" s="22"/>
      <c r="X238" s="22"/>
      <c r="Y238" s="22"/>
      <c r="Z238" s="22"/>
      <c r="AA238" s="22"/>
      <c r="AB238" s="22"/>
    </row>
    <row r="239" spans="1:28" ht="16">
      <c r="A239" s="190">
        <f t="shared" si="7"/>
        <v>233</v>
      </c>
      <c r="B239" s="191"/>
      <c r="C239" s="191"/>
      <c r="D239" s="192"/>
      <c r="E239" s="199" t="e">
        <f>VLOOKUP($C239,xe!$A:$B,2,0)</f>
        <v>#N/A</v>
      </c>
      <c r="F239" s="194" t="e">
        <f>VLOOKUP($B239,ma!$A:$B,2,0)</f>
        <v>#N/A</v>
      </c>
      <c r="G239" s="195"/>
      <c r="H239" s="195"/>
      <c r="I239" s="196"/>
      <c r="J239" s="195"/>
      <c r="K239" s="196"/>
      <c r="L239" s="195"/>
      <c r="M239" s="197"/>
      <c r="N239" s="198" t="e">
        <f>VLOOKUP($B239,ma!$A:$C,3,0)</f>
        <v>#N/A</v>
      </c>
      <c r="O239" s="198" t="e">
        <f t="shared" si="0"/>
        <v>#N/A</v>
      </c>
      <c r="P239" s="198" t="e">
        <f t="shared" si="11"/>
        <v>#N/A</v>
      </c>
      <c r="Q239" s="177"/>
      <c r="R239" s="177"/>
      <c r="S239" s="177"/>
      <c r="T239" s="177"/>
      <c r="U239" s="177"/>
      <c r="V239" s="22"/>
      <c r="W239" s="22"/>
      <c r="X239" s="22"/>
      <c r="Y239" s="22"/>
      <c r="Z239" s="22"/>
      <c r="AA239" s="22"/>
      <c r="AB239" s="22"/>
    </row>
    <row r="240" spans="1:28" ht="16">
      <c r="A240" s="190">
        <f t="shared" si="7"/>
        <v>234</v>
      </c>
      <c r="B240" s="191"/>
      <c r="C240" s="191"/>
      <c r="D240" s="192"/>
      <c r="E240" s="199" t="e">
        <f>VLOOKUP($C240,xe!$A:$B,2,0)</f>
        <v>#N/A</v>
      </c>
      <c r="F240" s="194" t="e">
        <f>VLOOKUP($B240,ma!$A:$B,2,0)</f>
        <v>#N/A</v>
      </c>
      <c r="G240" s="195"/>
      <c r="H240" s="195"/>
      <c r="I240" s="196"/>
      <c r="J240" s="195"/>
      <c r="K240" s="196"/>
      <c r="L240" s="195"/>
      <c r="M240" s="197"/>
      <c r="N240" s="198" t="e">
        <f>VLOOKUP($B240,ma!$A:$C,3,0)</f>
        <v>#N/A</v>
      </c>
      <c r="O240" s="198" t="e">
        <f t="shared" si="0"/>
        <v>#N/A</v>
      </c>
      <c r="P240" s="198" t="e">
        <f t="shared" si="11"/>
        <v>#N/A</v>
      </c>
      <c r="Q240" s="177"/>
      <c r="R240" s="177"/>
      <c r="S240" s="177"/>
      <c r="T240" s="177"/>
      <c r="U240" s="177"/>
      <c r="V240" s="22"/>
      <c r="W240" s="22"/>
      <c r="X240" s="22"/>
      <c r="Y240" s="22"/>
      <c r="Z240" s="22"/>
      <c r="AA240" s="22"/>
      <c r="AB240" s="22"/>
    </row>
    <row r="241" spans="1:28" ht="16">
      <c r="A241" s="190">
        <f t="shared" si="7"/>
        <v>235</v>
      </c>
      <c r="B241" s="191"/>
      <c r="C241" s="191"/>
      <c r="D241" s="192"/>
      <c r="E241" s="199" t="e">
        <f>VLOOKUP($C241,xe!$A:$B,2,0)</f>
        <v>#N/A</v>
      </c>
      <c r="F241" s="194" t="e">
        <f>VLOOKUP($B241,ma!$A:$B,2,0)</f>
        <v>#N/A</v>
      </c>
      <c r="G241" s="195"/>
      <c r="H241" s="195"/>
      <c r="I241" s="196"/>
      <c r="J241" s="195"/>
      <c r="K241" s="196"/>
      <c r="L241" s="195"/>
      <c r="M241" s="197"/>
      <c r="N241" s="198" t="e">
        <f>VLOOKUP($B241,ma!$A:$C,3,0)</f>
        <v>#N/A</v>
      </c>
      <c r="O241" s="198" t="e">
        <f t="shared" si="0"/>
        <v>#N/A</v>
      </c>
      <c r="P241" s="198" t="e">
        <f t="shared" si="11"/>
        <v>#N/A</v>
      </c>
      <c r="Q241" s="177"/>
      <c r="R241" s="177"/>
      <c r="S241" s="177"/>
      <c r="T241" s="177"/>
      <c r="U241" s="177"/>
      <c r="V241" s="22"/>
      <c r="W241" s="22"/>
      <c r="X241" s="22"/>
      <c r="Y241" s="22"/>
      <c r="Z241" s="22"/>
      <c r="AA241" s="22"/>
      <c r="AB241" s="22"/>
    </row>
    <row r="242" spans="1:28" ht="16">
      <c r="A242" s="190">
        <f t="shared" si="7"/>
        <v>236</v>
      </c>
      <c r="B242" s="191"/>
      <c r="C242" s="191"/>
      <c r="D242" s="192"/>
      <c r="E242" s="199" t="e">
        <f>VLOOKUP($C242,xe!$A:$B,2,0)</f>
        <v>#N/A</v>
      </c>
      <c r="F242" s="194" t="e">
        <f>VLOOKUP($B242,ma!$A:$B,2,0)</f>
        <v>#N/A</v>
      </c>
      <c r="G242" s="195"/>
      <c r="H242" s="195"/>
      <c r="I242" s="196"/>
      <c r="J242" s="195"/>
      <c r="K242" s="196"/>
      <c r="L242" s="195"/>
      <c r="M242" s="197"/>
      <c r="N242" s="198" t="e">
        <f>VLOOKUP($B242,ma!$A:$C,3,0)</f>
        <v>#N/A</v>
      </c>
      <c r="O242" s="198" t="e">
        <f t="shared" si="0"/>
        <v>#N/A</v>
      </c>
      <c r="P242" s="198" t="e">
        <f t="shared" si="11"/>
        <v>#N/A</v>
      </c>
      <c r="Q242" s="177"/>
      <c r="R242" s="177"/>
      <c r="S242" s="177"/>
      <c r="T242" s="177"/>
      <c r="U242" s="177"/>
      <c r="V242" s="22"/>
      <c r="W242" s="22"/>
      <c r="X242" s="22"/>
      <c r="Y242" s="22"/>
      <c r="Z242" s="22"/>
      <c r="AA242" s="22"/>
      <c r="AB242" s="22"/>
    </row>
    <row r="243" spans="1:28" ht="16">
      <c r="A243" s="190">
        <f t="shared" si="7"/>
        <v>237</v>
      </c>
      <c r="B243" s="191"/>
      <c r="C243" s="191"/>
      <c r="D243" s="192"/>
      <c r="E243" s="199" t="e">
        <f>VLOOKUP($C243,xe!$A:$B,2,0)</f>
        <v>#N/A</v>
      </c>
      <c r="F243" s="194" t="e">
        <f>VLOOKUP($B243,ma!$A:$B,2,0)</f>
        <v>#N/A</v>
      </c>
      <c r="G243" s="195"/>
      <c r="H243" s="195"/>
      <c r="I243" s="196"/>
      <c r="J243" s="195"/>
      <c r="K243" s="196"/>
      <c r="L243" s="195"/>
      <c r="M243" s="197"/>
      <c r="N243" s="198" t="e">
        <f>VLOOKUP($B243,ma!$A:$C,3,0)</f>
        <v>#N/A</v>
      </c>
      <c r="O243" s="198" t="e">
        <f t="shared" si="0"/>
        <v>#N/A</v>
      </c>
      <c r="P243" s="198" t="e">
        <f t="shared" si="11"/>
        <v>#N/A</v>
      </c>
      <c r="Q243" s="177"/>
      <c r="R243" s="177"/>
      <c r="S243" s="177"/>
      <c r="T243" s="177"/>
      <c r="U243" s="177"/>
      <c r="V243" s="22"/>
      <c r="W243" s="22"/>
      <c r="X243" s="22"/>
      <c r="Y243" s="22"/>
      <c r="Z243" s="22"/>
      <c r="AA243" s="22"/>
      <c r="AB243" s="22"/>
    </row>
    <row r="244" spans="1:28" ht="16">
      <c r="A244" s="190">
        <f t="shared" si="7"/>
        <v>238</v>
      </c>
      <c r="B244" s="191"/>
      <c r="C244" s="191"/>
      <c r="D244" s="192"/>
      <c r="E244" s="199" t="e">
        <f>VLOOKUP($C244,xe!$A:$B,2,0)</f>
        <v>#N/A</v>
      </c>
      <c r="F244" s="194" t="e">
        <f>VLOOKUP($B244,ma!$A:$B,2,0)</f>
        <v>#N/A</v>
      </c>
      <c r="G244" s="195"/>
      <c r="H244" s="195"/>
      <c r="I244" s="196"/>
      <c r="J244" s="195"/>
      <c r="K244" s="196"/>
      <c r="L244" s="195"/>
      <c r="M244" s="197"/>
      <c r="N244" s="198" t="e">
        <f>VLOOKUP($B244,ma!$A:$C,3,0)</f>
        <v>#N/A</v>
      </c>
      <c r="O244" s="198" t="e">
        <f t="shared" si="0"/>
        <v>#N/A</v>
      </c>
      <c r="P244" s="198" t="e">
        <f t="shared" si="11"/>
        <v>#N/A</v>
      </c>
      <c r="Q244" s="177"/>
      <c r="R244" s="177"/>
      <c r="S244" s="177"/>
      <c r="T244" s="177"/>
      <c r="U244" s="177"/>
      <c r="V244" s="22"/>
      <c r="W244" s="22"/>
      <c r="X244" s="22"/>
      <c r="Y244" s="22"/>
      <c r="Z244" s="22"/>
      <c r="AA244" s="22"/>
      <c r="AB244" s="22"/>
    </row>
    <row r="245" spans="1:28" ht="16">
      <c r="A245" s="190">
        <f t="shared" si="7"/>
        <v>239</v>
      </c>
      <c r="B245" s="191"/>
      <c r="C245" s="191"/>
      <c r="D245" s="192"/>
      <c r="E245" s="199" t="e">
        <f>VLOOKUP($C245,xe!$A:$B,2,0)</f>
        <v>#N/A</v>
      </c>
      <c r="F245" s="194" t="e">
        <f>VLOOKUP($B245,ma!$A:$B,2,0)</f>
        <v>#N/A</v>
      </c>
      <c r="G245" s="195"/>
      <c r="H245" s="195"/>
      <c r="I245" s="196"/>
      <c r="J245" s="195"/>
      <c r="K245" s="196"/>
      <c r="L245" s="195"/>
      <c r="M245" s="197"/>
      <c r="N245" s="198" t="e">
        <f>VLOOKUP($B245,ma!$A:$C,3,0)</f>
        <v>#N/A</v>
      </c>
      <c r="O245" s="198" t="e">
        <f t="shared" si="0"/>
        <v>#N/A</v>
      </c>
      <c r="P245" s="198" t="e">
        <f t="shared" si="11"/>
        <v>#N/A</v>
      </c>
      <c r="Q245" s="177"/>
      <c r="R245" s="177"/>
      <c r="S245" s="177"/>
      <c r="T245" s="177"/>
      <c r="U245" s="177"/>
      <c r="V245" s="22"/>
      <c r="W245" s="22"/>
      <c r="X245" s="22"/>
      <c r="Y245" s="22"/>
      <c r="Z245" s="22"/>
      <c r="AA245" s="22"/>
      <c r="AB245" s="22"/>
    </row>
    <row r="246" spans="1:28" ht="16">
      <c r="A246" s="190">
        <f t="shared" si="7"/>
        <v>240</v>
      </c>
      <c r="B246" s="191"/>
      <c r="C246" s="191"/>
      <c r="D246" s="192"/>
      <c r="E246" s="199" t="e">
        <f>VLOOKUP($C246,xe!$A:$B,2,0)</f>
        <v>#N/A</v>
      </c>
      <c r="F246" s="194" t="e">
        <f>VLOOKUP($B246,ma!$A:$B,2,0)</f>
        <v>#N/A</v>
      </c>
      <c r="G246" s="195"/>
      <c r="H246" s="195"/>
      <c r="I246" s="196"/>
      <c r="J246" s="195"/>
      <c r="K246" s="196"/>
      <c r="L246" s="195"/>
      <c r="M246" s="197"/>
      <c r="N246" s="198" t="e">
        <f>VLOOKUP($B246,ma!$A:$C,3,0)</f>
        <v>#N/A</v>
      </c>
      <c r="O246" s="198" t="e">
        <f t="shared" si="0"/>
        <v>#N/A</v>
      </c>
      <c r="P246" s="198" t="e">
        <f t="shared" si="11"/>
        <v>#N/A</v>
      </c>
      <c r="Q246" s="177"/>
      <c r="R246" s="177"/>
      <c r="S246" s="177"/>
      <c r="T246" s="177"/>
      <c r="U246" s="177"/>
      <c r="V246" s="22"/>
      <c r="W246" s="22"/>
      <c r="X246" s="22"/>
      <c r="Y246" s="22"/>
      <c r="Z246" s="22"/>
      <c r="AA246" s="22"/>
      <c r="AB246" s="22"/>
    </row>
    <row r="247" spans="1:28" ht="16">
      <c r="A247" s="190">
        <f t="shared" si="7"/>
        <v>241</v>
      </c>
      <c r="B247" s="191"/>
      <c r="C247" s="191"/>
      <c r="D247" s="192"/>
      <c r="E247" s="199" t="e">
        <f>VLOOKUP($C247,xe!$A:$B,2,0)</f>
        <v>#N/A</v>
      </c>
      <c r="F247" s="194" t="e">
        <f>VLOOKUP($B247,ma!$A:$B,2,0)</f>
        <v>#N/A</v>
      </c>
      <c r="G247" s="195"/>
      <c r="H247" s="195"/>
      <c r="I247" s="196"/>
      <c r="J247" s="195"/>
      <c r="K247" s="196"/>
      <c r="L247" s="195"/>
      <c r="M247" s="197"/>
      <c r="N247" s="198" t="e">
        <f>VLOOKUP($B247,ma!$A:$C,3,0)</f>
        <v>#N/A</v>
      </c>
      <c r="O247" s="198" t="e">
        <f t="shared" si="0"/>
        <v>#N/A</v>
      </c>
      <c r="P247" s="198" t="e">
        <f t="shared" si="11"/>
        <v>#N/A</v>
      </c>
      <c r="Q247" s="177"/>
      <c r="R247" s="177"/>
      <c r="S247" s="177"/>
      <c r="T247" s="177"/>
      <c r="U247" s="177"/>
      <c r="V247" s="22"/>
      <c r="W247" s="22"/>
      <c r="X247" s="22"/>
      <c r="Y247" s="22"/>
      <c r="Z247" s="22"/>
      <c r="AA247" s="22"/>
      <c r="AB247" s="22"/>
    </row>
    <row r="248" spans="1:28" ht="16">
      <c r="A248" s="190">
        <f t="shared" si="7"/>
        <v>242</v>
      </c>
      <c r="B248" s="191"/>
      <c r="C248" s="191"/>
      <c r="D248" s="192"/>
      <c r="E248" s="199" t="e">
        <f>VLOOKUP($C248,xe!$A:$B,2,0)</f>
        <v>#N/A</v>
      </c>
      <c r="F248" s="194" t="e">
        <f>VLOOKUP($B248,ma!$A:$B,2,0)</f>
        <v>#N/A</v>
      </c>
      <c r="G248" s="195"/>
      <c r="H248" s="195"/>
      <c r="I248" s="196"/>
      <c r="J248" s="195"/>
      <c r="K248" s="196"/>
      <c r="L248" s="195"/>
      <c r="M248" s="197"/>
      <c r="N248" s="198" t="e">
        <f>VLOOKUP($B248,ma!$A:$C,3,0)</f>
        <v>#N/A</v>
      </c>
      <c r="O248" s="198" t="e">
        <f t="shared" si="0"/>
        <v>#N/A</v>
      </c>
      <c r="P248" s="198" t="e">
        <f t="shared" si="11"/>
        <v>#N/A</v>
      </c>
      <c r="Q248" s="177"/>
      <c r="R248" s="177"/>
      <c r="S248" s="177"/>
      <c r="T248" s="177"/>
      <c r="U248" s="177"/>
      <c r="V248" s="22"/>
      <c r="W248" s="22"/>
      <c r="X248" s="22"/>
      <c r="Y248" s="22"/>
      <c r="Z248" s="22"/>
      <c r="AA248" s="22"/>
      <c r="AB248" s="22"/>
    </row>
    <row r="249" spans="1:28" ht="16">
      <c r="A249" s="190">
        <f t="shared" si="7"/>
        <v>243</v>
      </c>
      <c r="B249" s="191"/>
      <c r="C249" s="191"/>
      <c r="D249" s="192"/>
      <c r="E249" s="199" t="e">
        <f>VLOOKUP($C249,xe!$A:$B,2,0)</f>
        <v>#N/A</v>
      </c>
      <c r="F249" s="194" t="e">
        <f>VLOOKUP($B249,ma!$A:$B,2,0)</f>
        <v>#N/A</v>
      </c>
      <c r="G249" s="195"/>
      <c r="H249" s="195"/>
      <c r="I249" s="196"/>
      <c r="J249" s="195"/>
      <c r="K249" s="196"/>
      <c r="L249" s="195"/>
      <c r="M249" s="197"/>
      <c r="N249" s="198" t="e">
        <f>VLOOKUP($B249,ma!$A:$C,3,0)</f>
        <v>#N/A</v>
      </c>
      <c r="O249" s="198" t="e">
        <f t="shared" si="0"/>
        <v>#N/A</v>
      </c>
      <c r="P249" s="198" t="e">
        <f t="shared" si="11"/>
        <v>#N/A</v>
      </c>
      <c r="Q249" s="177"/>
      <c r="R249" s="177"/>
      <c r="S249" s="177"/>
      <c r="T249" s="177"/>
      <c r="U249" s="177"/>
      <c r="V249" s="22"/>
      <c r="W249" s="22"/>
      <c r="X249" s="22"/>
      <c r="Y249" s="22"/>
      <c r="Z249" s="22"/>
      <c r="AA249" s="22"/>
      <c r="AB249" s="22"/>
    </row>
    <row r="250" spans="1:28" ht="16">
      <c r="A250" s="190">
        <f t="shared" si="7"/>
        <v>244</v>
      </c>
      <c r="B250" s="191"/>
      <c r="C250" s="191"/>
      <c r="D250" s="192"/>
      <c r="E250" s="199" t="e">
        <f>VLOOKUP($C250,xe!$A:$B,2,0)</f>
        <v>#N/A</v>
      </c>
      <c r="F250" s="194" t="e">
        <f>VLOOKUP($B250,ma!$A:$B,2,0)</f>
        <v>#N/A</v>
      </c>
      <c r="G250" s="195"/>
      <c r="H250" s="195"/>
      <c r="I250" s="196"/>
      <c r="J250" s="195"/>
      <c r="K250" s="196"/>
      <c r="L250" s="195"/>
      <c r="M250" s="197"/>
      <c r="N250" s="198" t="e">
        <f>VLOOKUP($B250,ma!$A:$C,3,0)</f>
        <v>#N/A</v>
      </c>
      <c r="O250" s="198" t="e">
        <f t="shared" si="0"/>
        <v>#N/A</v>
      </c>
      <c r="P250" s="198" t="e">
        <f t="shared" si="11"/>
        <v>#N/A</v>
      </c>
      <c r="Q250" s="177"/>
      <c r="R250" s="177"/>
      <c r="S250" s="177"/>
      <c r="T250" s="177"/>
      <c r="U250" s="177"/>
      <c r="V250" s="22"/>
      <c r="W250" s="22"/>
      <c r="X250" s="22"/>
      <c r="Y250" s="22"/>
      <c r="Z250" s="22"/>
      <c r="AA250" s="22"/>
      <c r="AB250" s="22"/>
    </row>
    <row r="251" spans="1:28" ht="16">
      <c r="A251" s="190">
        <f t="shared" si="7"/>
        <v>245</v>
      </c>
      <c r="B251" s="191"/>
      <c r="C251" s="191"/>
      <c r="D251" s="192"/>
      <c r="E251" s="199" t="e">
        <f>VLOOKUP($C251,xe!$A:$B,2,0)</f>
        <v>#N/A</v>
      </c>
      <c r="F251" s="194" t="e">
        <f>VLOOKUP($B251,ma!$A:$B,2,0)</f>
        <v>#N/A</v>
      </c>
      <c r="G251" s="195"/>
      <c r="H251" s="195"/>
      <c r="I251" s="196"/>
      <c r="J251" s="195"/>
      <c r="K251" s="196"/>
      <c r="L251" s="195"/>
      <c r="M251" s="197"/>
      <c r="N251" s="198" t="e">
        <f>VLOOKUP($B251,ma!$A:$C,3,0)</f>
        <v>#N/A</v>
      </c>
      <c r="O251" s="198" t="e">
        <f t="shared" si="0"/>
        <v>#N/A</v>
      </c>
      <c r="P251" s="198" t="e">
        <f t="shared" si="11"/>
        <v>#N/A</v>
      </c>
      <c r="Q251" s="177"/>
      <c r="R251" s="177"/>
      <c r="S251" s="177"/>
      <c r="T251" s="177"/>
      <c r="U251" s="177"/>
      <c r="V251" s="22"/>
      <c r="W251" s="22"/>
      <c r="X251" s="22"/>
      <c r="Y251" s="22"/>
      <c r="Z251" s="22"/>
      <c r="AA251" s="22"/>
      <c r="AB251" s="22"/>
    </row>
    <row r="252" spans="1:28" ht="16">
      <c r="A252" s="190">
        <f t="shared" si="7"/>
        <v>246</v>
      </c>
      <c r="B252" s="191"/>
      <c r="C252" s="191"/>
      <c r="D252" s="192"/>
      <c r="E252" s="199" t="e">
        <f>VLOOKUP($C252,xe!$A:$B,2,0)</f>
        <v>#N/A</v>
      </c>
      <c r="F252" s="194" t="e">
        <f>VLOOKUP($B252,ma!$A:$B,2,0)</f>
        <v>#N/A</v>
      </c>
      <c r="G252" s="195"/>
      <c r="H252" s="195"/>
      <c r="I252" s="196"/>
      <c r="J252" s="195"/>
      <c r="K252" s="196"/>
      <c r="L252" s="195"/>
      <c r="M252" s="197"/>
      <c r="N252" s="198" t="e">
        <f>VLOOKUP($B252,ma!$A:$C,3,0)</f>
        <v>#N/A</v>
      </c>
      <c r="O252" s="198" t="e">
        <f t="shared" si="0"/>
        <v>#N/A</v>
      </c>
      <c r="P252" s="198" t="e">
        <f t="shared" si="11"/>
        <v>#N/A</v>
      </c>
      <c r="Q252" s="177"/>
      <c r="R252" s="177"/>
      <c r="S252" s="177"/>
      <c r="T252" s="177"/>
      <c r="U252" s="177"/>
      <c r="V252" s="22"/>
      <c r="W252" s="22"/>
      <c r="X252" s="22"/>
      <c r="Y252" s="22"/>
      <c r="Z252" s="22"/>
      <c r="AA252" s="22"/>
      <c r="AB252" s="22"/>
    </row>
    <row r="253" spans="1:28" ht="16">
      <c r="A253" s="190"/>
      <c r="B253" s="216"/>
      <c r="C253" s="216"/>
      <c r="D253" s="192"/>
      <c r="E253" s="199"/>
      <c r="F253" s="194" t="s">
        <v>2105</v>
      </c>
      <c r="G253" s="217"/>
      <c r="H253" s="218"/>
      <c r="I253" s="219">
        <f>SUBTOTAL(9,I6:I252)</f>
        <v>0</v>
      </c>
      <c r="J253" s="220"/>
      <c r="K253" s="219">
        <f>SUBTOTAL(9,K6:K252)</f>
        <v>0</v>
      </c>
      <c r="L253" s="217"/>
      <c r="M253" s="219">
        <f>SUM(M6:M252)</f>
        <v>969.2399999999999</v>
      </c>
      <c r="N253" s="221"/>
      <c r="O253" s="220" t="e">
        <f t="shared" ref="O253:P253" si="12">SUBTOTAL(9,O6:O252)</f>
        <v>#N/A</v>
      </c>
      <c r="P253" s="220" t="e">
        <f t="shared" si="12"/>
        <v>#N/A</v>
      </c>
      <c r="Q253" s="177"/>
      <c r="R253" s="177"/>
      <c r="S253" s="177"/>
      <c r="T253" s="177"/>
      <c r="U253" s="177"/>
      <c r="V253" s="22"/>
      <c r="W253" s="22"/>
      <c r="X253" s="22"/>
      <c r="Y253" s="22"/>
      <c r="Z253" s="22"/>
      <c r="AA253" s="22"/>
      <c r="AB253" s="22"/>
    </row>
    <row r="254" spans="1:28" ht="16">
      <c r="A254" s="174"/>
      <c r="B254" s="178"/>
      <c r="C254" s="178"/>
      <c r="D254" s="174"/>
      <c r="E254" s="174"/>
      <c r="F254" s="174"/>
      <c r="G254" s="222"/>
      <c r="H254" s="222"/>
      <c r="I254" s="222"/>
      <c r="J254" s="222"/>
      <c r="K254" s="181"/>
      <c r="L254" s="181"/>
      <c r="M254" s="181"/>
      <c r="N254" s="222"/>
      <c r="O254" s="181"/>
      <c r="P254" s="223"/>
      <c r="Q254" s="177"/>
      <c r="R254" s="177"/>
      <c r="S254" s="177"/>
      <c r="T254" s="160"/>
      <c r="U254" s="160"/>
      <c r="V254" s="22"/>
      <c r="W254" s="22"/>
      <c r="X254" s="22"/>
      <c r="Y254" s="22"/>
      <c r="Z254" s="22"/>
      <c r="AA254" s="22"/>
      <c r="AB254" s="22"/>
    </row>
    <row r="255" spans="1:28" ht="16">
      <c r="A255" s="174"/>
      <c r="B255" s="178"/>
      <c r="C255" s="178"/>
      <c r="D255" s="174"/>
      <c r="E255" s="174"/>
      <c r="F255" s="174"/>
      <c r="G255" s="222"/>
      <c r="H255" s="222"/>
      <c r="I255" s="224" t="s">
        <v>2106</v>
      </c>
      <c r="J255" s="225">
        <v>6000000</v>
      </c>
      <c r="K255" s="181"/>
      <c r="L255" s="181"/>
      <c r="M255" s="181"/>
      <c r="N255" s="222"/>
      <c r="O255" s="181"/>
      <c r="P255" s="223"/>
      <c r="Q255" s="177"/>
      <c r="R255" s="177"/>
      <c r="S255" s="177"/>
      <c r="T255" s="160"/>
      <c r="U255" s="160"/>
      <c r="V255" s="22"/>
      <c r="W255" s="22"/>
      <c r="X255" s="22"/>
      <c r="Y255" s="22"/>
      <c r="Z255" s="22"/>
      <c r="AA255" s="22"/>
      <c r="AB255" s="22"/>
    </row>
    <row r="256" spans="1:28" ht="16">
      <c r="A256" s="174"/>
      <c r="B256" s="178"/>
      <c r="C256" s="178"/>
      <c r="D256" s="174"/>
      <c r="E256" s="174"/>
      <c r="F256" s="174"/>
      <c r="G256" s="222"/>
      <c r="H256" s="226"/>
      <c r="I256" s="224" t="s">
        <v>2107</v>
      </c>
      <c r="J256" s="227" t="e">
        <f>P253</f>
        <v>#N/A</v>
      </c>
      <c r="K256" s="181"/>
      <c r="L256" s="181"/>
      <c r="M256" s="181"/>
      <c r="N256" s="222"/>
      <c r="O256" s="181"/>
      <c r="P256" s="223"/>
      <c r="Q256" s="177"/>
      <c r="R256" s="177"/>
      <c r="S256" s="177"/>
      <c r="T256" s="160"/>
      <c r="U256" s="160"/>
      <c r="V256" s="22"/>
      <c r="W256" s="22"/>
      <c r="X256" s="22"/>
      <c r="Y256" s="22"/>
      <c r="Z256" s="22"/>
      <c r="AA256" s="22"/>
      <c r="AB256" s="22"/>
    </row>
    <row r="257" spans="1:28" ht="16">
      <c r="A257" s="174"/>
      <c r="B257" s="178"/>
      <c r="C257" s="178"/>
      <c r="D257" s="174"/>
      <c r="E257" s="174"/>
      <c r="F257" s="174"/>
      <c r="G257" s="228"/>
      <c r="H257" s="222"/>
      <c r="I257" s="229" t="s">
        <v>2108</v>
      </c>
      <c r="J257" s="230">
        <v>1000000</v>
      </c>
      <c r="K257" s="181"/>
      <c r="L257" s="181"/>
      <c r="M257" s="181"/>
      <c r="N257" s="222"/>
      <c r="O257" s="181"/>
      <c r="P257" s="223"/>
      <c r="Q257" s="177"/>
      <c r="R257" s="177"/>
      <c r="S257" s="177"/>
      <c r="T257" s="160"/>
      <c r="U257" s="160"/>
      <c r="V257" s="22"/>
      <c r="W257" s="22"/>
      <c r="X257" s="22"/>
      <c r="Y257" s="22"/>
      <c r="Z257" s="22"/>
      <c r="AA257" s="22"/>
      <c r="AB257" s="22"/>
    </row>
    <row r="258" spans="1:28" ht="16">
      <c r="A258" s="174"/>
      <c r="B258" s="178"/>
      <c r="C258" s="178"/>
      <c r="D258" s="174"/>
      <c r="E258" s="174"/>
      <c r="F258" s="174"/>
      <c r="G258" s="222"/>
      <c r="H258" s="222"/>
      <c r="I258" s="231" t="s">
        <v>2105</v>
      </c>
      <c r="J258" s="227" t="e">
        <f>SUM(J255:J257)</f>
        <v>#N/A</v>
      </c>
      <c r="K258" s="181"/>
      <c r="L258" s="181"/>
      <c r="M258" s="222"/>
      <c r="N258" s="222"/>
      <c r="O258" s="181"/>
      <c r="P258" s="232"/>
      <c r="Q258" s="177"/>
      <c r="R258" s="177"/>
      <c r="S258" s="177"/>
      <c r="T258" s="160"/>
      <c r="U258" s="177"/>
      <c r="V258" s="22"/>
      <c r="W258" s="22"/>
      <c r="X258" s="22"/>
      <c r="Y258" s="22"/>
      <c r="Z258" s="22"/>
      <c r="AA258" s="22"/>
      <c r="AB258" s="22"/>
    </row>
    <row r="259" spans="1:28" ht="16">
      <c r="A259" s="174"/>
      <c r="B259" s="174"/>
      <c r="C259" s="174"/>
      <c r="D259" s="233"/>
      <c r="E259" s="233"/>
      <c r="F259" s="233"/>
      <c r="G259" s="174"/>
      <c r="H259" s="174"/>
      <c r="I259" s="229" t="s">
        <v>2109</v>
      </c>
      <c r="J259" s="230">
        <f>I253+K253</f>
        <v>0</v>
      </c>
      <c r="K259" s="181"/>
      <c r="L259" s="181"/>
      <c r="M259" s="174"/>
      <c r="N259" s="174"/>
      <c r="O259" s="174"/>
      <c r="P259" s="232"/>
      <c r="Q259" s="177"/>
      <c r="R259" s="177"/>
      <c r="S259" s="177"/>
      <c r="T259" s="177"/>
      <c r="U259" s="177"/>
      <c r="V259" s="22"/>
      <c r="W259" s="22"/>
      <c r="X259" s="22"/>
      <c r="Y259" s="22"/>
      <c r="Z259" s="22"/>
      <c r="AA259" s="22"/>
      <c r="AB259" s="22"/>
    </row>
    <row r="260" spans="1:28" ht="16">
      <c r="A260" s="174"/>
      <c r="B260" s="174"/>
      <c r="C260" s="174"/>
      <c r="D260" s="233"/>
      <c r="E260" s="233"/>
      <c r="F260" s="233"/>
      <c r="G260" s="174"/>
      <c r="H260" s="174"/>
      <c r="I260" s="231"/>
      <c r="J260" s="227" t="e">
        <f>J258+J259</f>
        <v>#N/A</v>
      </c>
      <c r="K260" s="181"/>
      <c r="L260" s="181"/>
      <c r="M260" s="174"/>
      <c r="N260" s="174"/>
      <c r="O260" s="174"/>
      <c r="P260" s="232"/>
      <c r="Q260" s="177"/>
      <c r="R260" s="177"/>
      <c r="S260" s="177"/>
      <c r="T260" s="177"/>
      <c r="U260" s="177"/>
      <c r="V260" s="22"/>
      <c r="W260" s="22"/>
      <c r="X260" s="22"/>
      <c r="Y260" s="22"/>
      <c r="Z260" s="22"/>
      <c r="AA260" s="22"/>
      <c r="AB260" s="22"/>
    </row>
    <row r="261" spans="1:28" ht="16">
      <c r="A261" s="174"/>
      <c r="B261" s="174"/>
      <c r="C261" s="174"/>
      <c r="D261" s="21" t="s">
        <v>2110</v>
      </c>
      <c r="E261" s="21">
        <v>10</v>
      </c>
      <c r="G261" s="174"/>
      <c r="H261" s="174"/>
      <c r="I261" s="234" t="s">
        <v>2075</v>
      </c>
      <c r="J261" s="235">
        <v>560000</v>
      </c>
      <c r="K261" s="181"/>
      <c r="L261" s="181"/>
      <c r="M261" s="174"/>
      <c r="N261" s="174"/>
      <c r="O261" s="174"/>
      <c r="P261" s="232"/>
      <c r="Q261" s="177"/>
      <c r="R261" s="177"/>
      <c r="S261" s="177"/>
      <c r="T261" s="177"/>
      <c r="U261" s="177"/>
      <c r="V261" s="22"/>
      <c r="W261" s="22"/>
      <c r="X261" s="22"/>
      <c r="Y261" s="22"/>
      <c r="Z261" s="22"/>
      <c r="AA261" s="22"/>
      <c r="AB261" s="22"/>
    </row>
    <row r="262" spans="1:28" ht="16">
      <c r="A262" s="174"/>
      <c r="B262" s="174"/>
      <c r="C262" s="174"/>
      <c r="D262" s="21" t="s">
        <v>2111</v>
      </c>
      <c r="E262" s="21">
        <v>13</v>
      </c>
      <c r="G262" s="174"/>
      <c r="H262" s="174"/>
      <c r="I262" s="231" t="s">
        <v>2112</v>
      </c>
      <c r="J262" s="227">
        <v>11000000</v>
      </c>
      <c r="K262" s="181"/>
      <c r="L262" s="181"/>
      <c r="M262" s="174"/>
      <c r="N262" s="174"/>
      <c r="O262" s="174"/>
      <c r="P262" s="232"/>
      <c r="Q262" s="177"/>
      <c r="R262" s="177"/>
      <c r="S262" s="177"/>
      <c r="T262" s="177"/>
      <c r="U262" s="177"/>
      <c r="V262" s="22"/>
      <c r="W262" s="22"/>
      <c r="X262" s="22"/>
      <c r="Y262" s="22"/>
      <c r="Z262" s="22"/>
      <c r="AA262" s="22"/>
      <c r="AB262" s="22"/>
    </row>
    <row r="263" spans="1:28" ht="16">
      <c r="A263" s="174"/>
      <c r="B263" s="174"/>
      <c r="C263" s="174"/>
      <c r="D263" s="174" t="s">
        <v>2113</v>
      </c>
      <c r="E263" s="174">
        <v>7</v>
      </c>
      <c r="F263" s="174"/>
      <c r="G263" s="174"/>
      <c r="H263" s="174"/>
      <c r="I263" s="231" t="s">
        <v>2114</v>
      </c>
      <c r="J263" s="227" t="e">
        <f>J260-J261-J262</f>
        <v>#N/A</v>
      </c>
      <c r="K263" s="181"/>
      <c r="L263" s="181"/>
      <c r="M263" s="174"/>
      <c r="N263" s="174"/>
      <c r="O263" s="174"/>
      <c r="P263" s="232"/>
      <c r="Q263" s="177"/>
      <c r="R263" s="177"/>
      <c r="S263" s="177"/>
      <c r="T263" s="177"/>
      <c r="U263" s="177"/>
      <c r="V263" s="22"/>
      <c r="W263" s="22"/>
      <c r="X263" s="22"/>
      <c r="Y263" s="22"/>
      <c r="Z263" s="22"/>
      <c r="AA263" s="22"/>
      <c r="AB263" s="22"/>
    </row>
    <row r="264" spans="1:28" ht="16">
      <c r="A264" s="174"/>
      <c r="B264" s="174"/>
      <c r="C264" s="174"/>
      <c r="D264" s="174" t="s">
        <v>2115</v>
      </c>
      <c r="E264" s="174">
        <v>10</v>
      </c>
      <c r="F264" s="174"/>
      <c r="G264" s="174"/>
      <c r="H264" s="174"/>
      <c r="I264" s="263"/>
      <c r="J264" s="253"/>
      <c r="K264" s="181"/>
      <c r="L264" s="181"/>
      <c r="M264" s="174"/>
      <c r="N264" s="174"/>
      <c r="O264" s="174"/>
      <c r="P264" s="232"/>
      <c r="Q264" s="177"/>
      <c r="R264" s="177"/>
      <c r="S264" s="177"/>
      <c r="T264" s="177"/>
      <c r="U264" s="177"/>
      <c r="V264" s="22"/>
      <c r="W264" s="22"/>
      <c r="X264" s="22"/>
      <c r="Y264" s="22"/>
      <c r="Z264" s="22"/>
      <c r="AA264" s="22"/>
      <c r="AB264" s="22"/>
    </row>
    <row r="265" spans="1:28" ht="16">
      <c r="A265" s="174"/>
      <c r="B265" s="174"/>
      <c r="C265" s="174"/>
      <c r="D265" s="174" t="s">
        <v>2116</v>
      </c>
      <c r="E265" s="174">
        <v>8</v>
      </c>
      <c r="F265" s="174"/>
      <c r="G265" s="174"/>
      <c r="H265" s="174"/>
      <c r="I265" s="263"/>
      <c r="J265" s="253"/>
      <c r="K265" s="181"/>
      <c r="L265" s="181"/>
      <c r="M265" s="174"/>
      <c r="N265" s="174"/>
      <c r="O265" s="174"/>
      <c r="P265" s="232"/>
      <c r="Q265" s="177"/>
      <c r="R265" s="177"/>
      <c r="S265" s="177"/>
      <c r="T265" s="177"/>
      <c r="U265" s="177"/>
      <c r="V265" s="22"/>
      <c r="W265" s="22"/>
      <c r="X265" s="22"/>
      <c r="Y265" s="22"/>
      <c r="Z265" s="22"/>
      <c r="AA265" s="22"/>
      <c r="AB265" s="22"/>
    </row>
    <row r="266" spans="1:28" ht="16">
      <c r="A266" s="174"/>
      <c r="B266" s="174"/>
      <c r="C266" s="174"/>
      <c r="D266" s="174" t="s">
        <v>2117</v>
      </c>
      <c r="E266" s="174">
        <v>8</v>
      </c>
      <c r="F266" s="174"/>
      <c r="G266" s="174"/>
      <c r="H266" s="174"/>
      <c r="I266" s="263"/>
      <c r="J266" s="253"/>
      <c r="K266" s="181"/>
      <c r="L266" s="181"/>
      <c r="M266" s="174"/>
      <c r="N266" s="174"/>
      <c r="O266" s="174"/>
      <c r="P266" s="232"/>
      <c r="Q266" s="177"/>
      <c r="R266" s="177"/>
      <c r="S266" s="177"/>
      <c r="T266" s="177" t="s">
        <v>2118</v>
      </c>
      <c r="U266" s="236">
        <f>SUM(S255:S264)</f>
        <v>0</v>
      </c>
      <c r="V266" s="22"/>
      <c r="W266" s="22"/>
      <c r="X266" s="22"/>
      <c r="Y266" s="22"/>
      <c r="Z266" s="22"/>
      <c r="AA266" s="22"/>
      <c r="AB266" s="22"/>
    </row>
    <row r="267" spans="1:28" ht="16">
      <c r="A267" s="174"/>
      <c r="B267" s="174"/>
      <c r="C267" s="174"/>
      <c r="D267" s="174"/>
      <c r="E267" s="174"/>
      <c r="F267" s="174"/>
      <c r="G267" s="174"/>
      <c r="H267" s="174"/>
      <c r="I267" s="263"/>
      <c r="J267" s="253"/>
      <c r="K267" s="181"/>
      <c r="L267" s="181"/>
      <c r="M267" s="174"/>
      <c r="N267" s="174"/>
      <c r="O267" s="174"/>
      <c r="P267" s="232"/>
      <c r="Q267" s="177"/>
      <c r="R267" s="177"/>
      <c r="S267" s="177"/>
      <c r="T267" s="177"/>
      <c r="U267" s="177"/>
      <c r="V267" s="22"/>
      <c r="W267" s="22"/>
      <c r="X267" s="22"/>
      <c r="Y267" s="22"/>
      <c r="Z267" s="22"/>
      <c r="AA267" s="22"/>
      <c r="AB267" s="22"/>
    </row>
    <row r="268" spans="1:28" ht="16">
      <c r="A268" s="174"/>
      <c r="B268" s="174"/>
      <c r="C268" s="174"/>
      <c r="D268" s="174"/>
      <c r="E268" s="174"/>
      <c r="F268" s="174"/>
      <c r="G268" s="174"/>
      <c r="H268" s="174"/>
      <c r="I268" s="263"/>
      <c r="J268" s="253"/>
      <c r="K268" s="181"/>
      <c r="L268" s="181"/>
      <c r="M268" s="174"/>
      <c r="N268" s="174"/>
      <c r="O268" s="174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ht="16">
      <c r="A269" s="233"/>
      <c r="B269" s="233"/>
      <c r="C269" s="233"/>
      <c r="D269" s="233"/>
      <c r="E269" s="233"/>
      <c r="F269" s="233"/>
      <c r="G269" s="233"/>
      <c r="H269" s="233"/>
      <c r="I269" s="263"/>
      <c r="J269" s="253"/>
      <c r="K269" s="181"/>
      <c r="L269" s="181"/>
      <c r="M269" s="233"/>
      <c r="N269" s="233"/>
      <c r="O269" s="233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ht="16">
      <c r="I270" s="263"/>
      <c r="J270" s="253"/>
      <c r="K270" s="181"/>
      <c r="L270" s="181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ht="13"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ht="13"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7:28" ht="13"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7:28" ht="13"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7:28" ht="13"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7:28" ht="13"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7:28" ht="13"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7:28" ht="13"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7:28" ht="13"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7:28" ht="13"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7:28" ht="13"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7:28" ht="13"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7:28" ht="13"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7:28" ht="13"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7:28" ht="13"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7:28" ht="13"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7:28" ht="13"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7:28" ht="13"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7:28" ht="13"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7:28" ht="13"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7:28" ht="13"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7:28" ht="13"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7:28" ht="13"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7:28" ht="13"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7:28" ht="13"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7:28" ht="13"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7:28" ht="13"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7:28" ht="13"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7:28" ht="13"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7:28" ht="13"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7:28" ht="13"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7:28" ht="13"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7:28" ht="13"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7:28" ht="13"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7:28" ht="13"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7:28" ht="13"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7:28" ht="13"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7:28" ht="13"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7:28" ht="13"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7:28" ht="13"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7:28" ht="13"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7:28" ht="13"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7:28" ht="13"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7:28" ht="13"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7:28" ht="13"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7:28" ht="13"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7:28" ht="13"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7:28" ht="13"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7:28" ht="13"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7:28" ht="13"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7:28" ht="13"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7:28" ht="13"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7:28" ht="13"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7:28" ht="13"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7:28" ht="13"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7:28" ht="13"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7:28" ht="13"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7:28" ht="13"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7:28" ht="13"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7:28" ht="13"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7:28" ht="13"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7:28" ht="13"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7:28" ht="13"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7:28" ht="13"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7:28" ht="13"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7:28" ht="13"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7:28" ht="13"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7:28" ht="13"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7:28" ht="13"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7:28" ht="13"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7:28" ht="13"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7:28" ht="13"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7:28" ht="13"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7:28" ht="13"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7:28" ht="13"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7:28" ht="13"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7:28" ht="13"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7:28" ht="13"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7:28" ht="13"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7:28" ht="13"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7:28" ht="13"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7:28" ht="13"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7:28" ht="13"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7:28" ht="13"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7:28" ht="13"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7:28" ht="13"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7:28" ht="13"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7:28" ht="13"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7:28" ht="13"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7:28" ht="13"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7:28" ht="13"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7:28" ht="13"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7:28" ht="13"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7:28" ht="13"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7:28" ht="13"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7:28" ht="13"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7:28" ht="13"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7:28" ht="13"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7:28" ht="13"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7:28" ht="13"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7:28" ht="13"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7:28" ht="13"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7:28" ht="13"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7:28" ht="13"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7:28" ht="13"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7:28" ht="13"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7:28" ht="13"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7:28" ht="13"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7:28" ht="13"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7:28" ht="13"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7:28" ht="13"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7:28" ht="13"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7:28" ht="13"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7:28" ht="13"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7:28" ht="13"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7:28" ht="13"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7:28" ht="13"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7:28" ht="13"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7:28" ht="13"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7:28" ht="13"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7:28" ht="13"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7:28" ht="13"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7:28" ht="13"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7:28" ht="13"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7:28" ht="13"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7:28" ht="13"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7:28" ht="13"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7:28" ht="13"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7:28" ht="13"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7:28" ht="13"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7:28" ht="13"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7:28" ht="13"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7:28" ht="13"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7:28" ht="13"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7:28" ht="13"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7:28" ht="13"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7:28" ht="13"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7:28" ht="13"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7:28" ht="13"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7:28" ht="13"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7:28" ht="13"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7:28" ht="13"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7:28" ht="13"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7:28" ht="13"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7:28" ht="13"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7:28" ht="13"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7:28" ht="13"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7:28" ht="13"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7:28" ht="13"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7:28" ht="13"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7:28" ht="13"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7:28" ht="13"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7:28" ht="13"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7:28" ht="13"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7:28" ht="13"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7:28" ht="13"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7:28" ht="13"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7:28" ht="13"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7:28" ht="13"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7:28" ht="13"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7:28" ht="13"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7:28" ht="13"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7:28" ht="13"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7:28" ht="13"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7:28" ht="13"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7:28" ht="13"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7:28" ht="13"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7:28" ht="13"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7:28" ht="13"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7:28" ht="13"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7:28" ht="13"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7:28" ht="13"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7:28" ht="13"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7:28" ht="13"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7:28" ht="13"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7:28" ht="13"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7:28" ht="13"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7:28" ht="13"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7:28" ht="13"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7:28" ht="13"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7:28" ht="13"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7:28" ht="13"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7:28" ht="13"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7:28" ht="13"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7:28" ht="13"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7:28" ht="13"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7:28" ht="13"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7:28" ht="13"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7:28" ht="13"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7:28" ht="13"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7:28" ht="13"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7:28" ht="13"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7:28" ht="13"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7:28" ht="13"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7:28" ht="13"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7:28" ht="13"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7:28" ht="13"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7:28" ht="13"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7:28" ht="13"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7:28" ht="13"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7:28" ht="13"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7:28" ht="13"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7:28" ht="13"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7:28" ht="13"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7:28" ht="13"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7:28" ht="13"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7:28" ht="13"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7:28" ht="13"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7:28" ht="13"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7:28" ht="13"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7:28" ht="13"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7:28" ht="13"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7:28" ht="13"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7:28" ht="13"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7:28" ht="13"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7:28" ht="13"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7:28" ht="13"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7:28" ht="13"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7:28" ht="13"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7:28" ht="13"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7:28" ht="13"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7:28" ht="13"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7:28" ht="13"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7:28" ht="13"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7:28" ht="13"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7:28" ht="13"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7:28" ht="13"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7:28" ht="13"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7:28" ht="13"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7:28" ht="13"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7:28" ht="13"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7:28" ht="13"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7:28" ht="13"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7:28" ht="13"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7:28" ht="13"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7:28" ht="13"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7:28" ht="13"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7:28" ht="13"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7:28" ht="13"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7:28" ht="13"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7:28" ht="13"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7:28" ht="13"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7:28" ht="13"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7:28" ht="13"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7:28" ht="13"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7:28" ht="13"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7:28" ht="13"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7:28" ht="13"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7:28" ht="13"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7:28" ht="13"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7:28" ht="13"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7:28" ht="13"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7:28" ht="13"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7:28" ht="13"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7:28" ht="13"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7:28" ht="13"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7:28" ht="13"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7:28" ht="13"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7:28" ht="13"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7:28" ht="13"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7:28" ht="13"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7:28" ht="13"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7:28" ht="13"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7:28" ht="13"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7:28" ht="13"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7:28" ht="13"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7:28" ht="13"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7:28" ht="13"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7:28" ht="13"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7:28" ht="13"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7:28" ht="13"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7:28" ht="13"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7:28" ht="13"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7:28" ht="13"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7:28" ht="13"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7:28" ht="13"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7:28" ht="13"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7:28" ht="13"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7:28" ht="13"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7:28" ht="13"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7:28" ht="13"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7:28" ht="13"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7:28" ht="13"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7:28" ht="13"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7:28" ht="13"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7:28" ht="13"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7:28" ht="13"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7:28" ht="13"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7:28" ht="13"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7:28" ht="13"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7:28" ht="13"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7:28" ht="13"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7:28" ht="13"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7:28" ht="13"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7:28" ht="13"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7:28" ht="13"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7:28" ht="13"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7:28" ht="13"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7:28" ht="13"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7:28" ht="13"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7:28" ht="13"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7:28" ht="13"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7:28" ht="13"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7:28" ht="13"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7:28" ht="13"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7:28" ht="13"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7:28" ht="13"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7:28" ht="13"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7:28" ht="13"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7:28" ht="13"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7:28" ht="13"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7:28" ht="13"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7:28" ht="13"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7:28" ht="13"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7:28" ht="13"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7:28" ht="13"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7:28" ht="13"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7:28" ht="13"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7:28" ht="13"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7:28" ht="13"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7:28" ht="13"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7:28" ht="13"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7:28" ht="13"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7:28" ht="13"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7:28" ht="13"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7:28" ht="13"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7:28" ht="13"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7:28" ht="13"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7:28" ht="13"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7:28" ht="13"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7:28" ht="13"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7:28" ht="13"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7:28" ht="13"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7:28" ht="13"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7:28" ht="13"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7:28" ht="13"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7:28" ht="13"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7:28" ht="13"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7:28" ht="13"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7:28" ht="13"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7:28" ht="13"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7:28" ht="13"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7:28" ht="13"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7:28" ht="13"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7:28" ht="13"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7:28" ht="13"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7:28" ht="13"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7:28" ht="13"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7:28" ht="13"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7:28" ht="13"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7:28" ht="13"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7:28" ht="13"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7:28" ht="13"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7:28" ht="13"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7:28" ht="13"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7:28" ht="13"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7:28" ht="13"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7:28" ht="13"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7:28" ht="13"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7:28" ht="13"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7:28" ht="13"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7:28" ht="13"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7:28" ht="13"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7:28" ht="13"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7:28" ht="13"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7:28" ht="13"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7:28" ht="13"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7:28" ht="13"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7:28" ht="13"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7:28" ht="13"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7:28" ht="13"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7:28" ht="13"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7:28" ht="13"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7:28" ht="13"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7:28" ht="13"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7:28" ht="13"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7:28" ht="13"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7:28" ht="13"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7:28" ht="13"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7:28" ht="13"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7:28" ht="13"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7:28" ht="13"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7:28" ht="13"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7:28" ht="13"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7:28" ht="13"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7:28" ht="13"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7:28" ht="13"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7:28" ht="13"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7:28" ht="13"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7:28" ht="13"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7:28" ht="13"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7:28" ht="13"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7:28" ht="13"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7:28" ht="13"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7:28" ht="13"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7:28" ht="13"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7:28" ht="13"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7:28" ht="13"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7:28" ht="13"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7:28" ht="13"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7:28" ht="13"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7:28" ht="13"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7:28" ht="13"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7:28" ht="13"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7:28" ht="13"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7:28" ht="13"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7:28" ht="13"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7:28" ht="13"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7:28" ht="13"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7:28" ht="13"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7:28" ht="13"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7:28" ht="13"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7:28" ht="13"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7:28" ht="13"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7:28" ht="13"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7:28" ht="13"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7:28" ht="13"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7:28" ht="13"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7:28" ht="13"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7:28" ht="13"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7:28" ht="13"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7:28" ht="13"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7:28" ht="13"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7:28" ht="13"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7:28" ht="13"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7:28" ht="13"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7:28" ht="13"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7:28" ht="13"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7:28" ht="13"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7:28" ht="13"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7:28" ht="13"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7:28" ht="13"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7:28" ht="13"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7:28" ht="13"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7:28" ht="13"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7:28" ht="13"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7:28" ht="13"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7:28" ht="13"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7:28" ht="13"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7:28" ht="13"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7:28" ht="13"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7:28" ht="13"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7:28" ht="13"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7:28" ht="13"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7:28" ht="13"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7:28" ht="13"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7:28" ht="13"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7:28" ht="13"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7:28" ht="13"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7:28" ht="13"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7:28" ht="13"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7:28" ht="13"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7:28" ht="13"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7:28" ht="13"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7:28" ht="13"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7:28" ht="13"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7:28" ht="13"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7:28" ht="13"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7:28" ht="13"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7:28" ht="13"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7:28" ht="13"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7:28" ht="13"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7:28" ht="13"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7:28" ht="13"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7:28" ht="13"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7:28" ht="13"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7:28" ht="13"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7:28" ht="13"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7:28" ht="13"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7:28" ht="13"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7:28" ht="13"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7:28" ht="13"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7:28" ht="13"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7:28" ht="13"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7:28" ht="13"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7:28" ht="13"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7:28" ht="13"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7:28" ht="13"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7:28" ht="13"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7:28" ht="13"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7:28" ht="13"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7:28" ht="13"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7:28" ht="13"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7:28" ht="13"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7:28" ht="13"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7:28" ht="13"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7:28" ht="13"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7:28" ht="13"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7:28" ht="13"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7:28" ht="13"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7:28" ht="13"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7:28" ht="13"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7:28" ht="13"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7:28" ht="13"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7:28" ht="13"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7:28" ht="13"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7:28" ht="13"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7:28" ht="13"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7:28" ht="13"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7:28" ht="13"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7:28" ht="13"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7:28" ht="13"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7:28" ht="13"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7:28" ht="13"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7:28" ht="13"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7:28" ht="13"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7:28" ht="13"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7:28" ht="13"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7:28" ht="13"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7:28" ht="13"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7:28" ht="13"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7:28" ht="13"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7:28" ht="13"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7:28" ht="13"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7:28" ht="13"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7:28" ht="13"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7:28" ht="13"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7:28" ht="13"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7:28" ht="13"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7:28" ht="13"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7:28" ht="13"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7:28" ht="13"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7:28" ht="13"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7:28" ht="13"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7:28" ht="13"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7:28" ht="13"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7:28" ht="13"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7:28" ht="13"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7:28" ht="13"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7:28" ht="13"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7:28" ht="13"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7:28" ht="13"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7:28" ht="13"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7:28" ht="13"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7:28" ht="13"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7:28" ht="13"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7:28" ht="13"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7:28" ht="13"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7:28" ht="13"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7:28" ht="13"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7:28" ht="13"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7:28" ht="13"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7:28" ht="13"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7:28" ht="13"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7:28" ht="13"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7:28" ht="13"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7:28" ht="13"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7:28" ht="13"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7:28" ht="13"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7:28" ht="13"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7:28" ht="13"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7:28" ht="13"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7:28" ht="13"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7:28" ht="13"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7:28" ht="13"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7:28" ht="13"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7:28" ht="13"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7:28" ht="13"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7:28" ht="13"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7:28" ht="13"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7:28" ht="13"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7:28" ht="13"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7:28" ht="13"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7:28" ht="13"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7:28" ht="13"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7:28" ht="13"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7:28" ht="13"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7:28" ht="13"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7:28" ht="13"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7:28" ht="13"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7:28" ht="13"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7:28" ht="13"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7:28" ht="13"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7:28" ht="13"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7:28" ht="13"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7:28" ht="13"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7:28" ht="13"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7:28" ht="13"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7:28" ht="13"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7:28" ht="13"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7:28" ht="13"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7:28" ht="13"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7:28" ht="13"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7:28" ht="13"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7:28" ht="13"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7:28" ht="13"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7:28" ht="13"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7:28" ht="13"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7:28" ht="13"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7:28" ht="13"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7:28" ht="13"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7:28" ht="13"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7:28" ht="13"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7:28" ht="13"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7:28" ht="13"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7:28" ht="13"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7:28" ht="13"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7:28" ht="13"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7:28" ht="13"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7:28" ht="13"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7:28" ht="13"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7:28" ht="13"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7:28" ht="13"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7:28" ht="13"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7:28" ht="13"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7:28" ht="13"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7:28" ht="13"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7:28" ht="13"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7:28" ht="13"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7:28" ht="13"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7:28" ht="13"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7:28" ht="13"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7:28" ht="13"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7:28" ht="13"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7:28" ht="13"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7:28" ht="13"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7:28" ht="13"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7:28" ht="13"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7:28" ht="13"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7:28" ht="13"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7:28" ht="13"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7:28" ht="13"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7:28" ht="13"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7:28" ht="13"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7:28" ht="13"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7:28" ht="13"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7:28" ht="13"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7:28" ht="13"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7:28" ht="13"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7:28" ht="13"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7:28" ht="13"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7:28" ht="13"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7:28" ht="13"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7:28" ht="13"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7:28" ht="13"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7:28" ht="13"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7:28" ht="13"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7:28" ht="13"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7:28" ht="13"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7:28" ht="13"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7:28" ht="13"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7:28" ht="13"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7:28" ht="13"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7:28" ht="13"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7:28" ht="13"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7:28" ht="13"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7:28" ht="13"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7:28" ht="13"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7:28" ht="13"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7:28" ht="13"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7:28" ht="13"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7:28" ht="13"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7:28" ht="13"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7:28" ht="13"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7:28" ht="13"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7:28" ht="13"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7:28" ht="13"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7:28" ht="13"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7:28" ht="13"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7:28" ht="13"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7:28" ht="13"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7:28" ht="13"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7:28" ht="13"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7:28" ht="13"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7:28" ht="13"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7:28" ht="13"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7:28" ht="13"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7:28" ht="13"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7:28" ht="13"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7:28" ht="13"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7:28" ht="13"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7:28" ht="13"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7:28" ht="13"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7:28" ht="13"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7:28" ht="13"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7:28" ht="13"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7:28" ht="13"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7:28" ht="13"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7:28" ht="13"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7:28" ht="13"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7:28" ht="13"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7:28" ht="13"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7:28" ht="13"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7:28" ht="13"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7:28" ht="13"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7:28" ht="13"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7:28" ht="13"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7:28" ht="13"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7:28" ht="13"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7:28" ht="13"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7:28" ht="13"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7:28" ht="13"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7:28" ht="13"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7:28" ht="13"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7:28" ht="13"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7:28" ht="13"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7:28" ht="13"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7:28" ht="13"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7:28" ht="13"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7:28" ht="13"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7:28" ht="13"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7:28" ht="13"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7:28" ht="13"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7:28" ht="13"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7:28" ht="13"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7:28" ht="13"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7:28" ht="13"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7:28" ht="13"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7:28" ht="13"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7:28" ht="13"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7:28" ht="13"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7:28" ht="13"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7:28" ht="13"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7:28" ht="13"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7:28" ht="13"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7:28" ht="13"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7:28" ht="13"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7:28" ht="13"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7:28" ht="13"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7:28" ht="13"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7:28" ht="13"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7:28" ht="13"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7:28" ht="13"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7:28" ht="13"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7:28" ht="13"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7:28" ht="13"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7:28" ht="13"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7:28" ht="13"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7:28" ht="13"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7:28" ht="13"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7:28" ht="13"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7:28" ht="13"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7:28" ht="13"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7:28" ht="13"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7:28" ht="13"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7:28" ht="13"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7:28" ht="13"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7:28" ht="13"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7:28" ht="13"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7:28" ht="13"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spans="17:28" ht="13"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spans="17:28" ht="13"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spans="17:28" ht="13"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spans="17:28" ht="13"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 spans="17:28" ht="13"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  <row r="1016" spans="17:28" ht="13"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</row>
    <row r="1017" spans="17:28" ht="13"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</row>
    <row r="1018" spans="17:28" ht="13"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</row>
    <row r="1019" spans="17:28" ht="13"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</row>
    <row r="1020" spans="17:28" ht="13"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</row>
    <row r="1021" spans="17:28" ht="13"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</row>
    <row r="1022" spans="17:28" ht="13"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</row>
    <row r="1023" spans="17:28" ht="13"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</row>
    <row r="1024" spans="17:28" ht="13"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</row>
    <row r="1025" spans="17:28" ht="13"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</row>
    <row r="1026" spans="17:28" ht="13"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</row>
    <row r="1027" spans="17:28" ht="13"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</row>
    <row r="1028" spans="17:28" ht="13"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</row>
    <row r="1029" spans="17:28" ht="13"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</row>
    <row r="1030" spans="17:28" ht="13"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</row>
    <row r="1031" spans="17:28" ht="13"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</row>
    <row r="1032" spans="17:28" ht="13"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</row>
    <row r="1033" spans="17:28" ht="13"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</row>
    <row r="1034" spans="17:28" ht="13"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</row>
    <row r="1035" spans="17:28" ht="13"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</row>
    <row r="1036" spans="17:28" ht="13"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</row>
    <row r="1037" spans="17:28" ht="13"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</row>
    <row r="1038" spans="17:28" ht="13"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</row>
    <row r="1039" spans="17:28" ht="13"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</row>
    <row r="1040" spans="17:28" ht="13"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</row>
    <row r="1041" spans="17:28" ht="13"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</row>
    <row r="1042" spans="17:28" ht="13"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</row>
    <row r="1043" spans="17:28" ht="13"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</row>
    <row r="1044" spans="17:28" ht="13"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</row>
    <row r="1045" spans="17:28" ht="13"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</row>
    <row r="1046" spans="17:28" ht="13"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</row>
    <row r="1047" spans="17:28" ht="13"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</row>
    <row r="1048" spans="17:28" ht="13"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</row>
    <row r="1049" spans="17:28" ht="13"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</row>
    <row r="1050" spans="17:28" ht="13"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</row>
    <row r="1051" spans="17:28" ht="13"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</row>
    <row r="1052" spans="17:28" ht="13"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</row>
    <row r="1053" spans="17:28" ht="13"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</row>
    <row r="1054" spans="17:28" ht="13"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</row>
    <row r="1055" spans="17:28" ht="13"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</row>
    <row r="1056" spans="17:28" ht="13"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</row>
    <row r="1057" spans="17:28" ht="13"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</row>
    <row r="1058" spans="17:28" ht="13"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</row>
    <row r="1059" spans="17:28" ht="13"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</row>
    <row r="1060" spans="17:28" ht="13"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</row>
    <row r="1061" spans="17:28" ht="13"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</row>
    <row r="1062" spans="17:28" ht="13"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</row>
    <row r="1063" spans="17:28" ht="13"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</row>
    <row r="1064" spans="17:28" ht="13"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</row>
    <row r="1065" spans="17:28" ht="13"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</row>
    <row r="1066" spans="17:28" ht="13"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</row>
    <row r="1067" spans="17:28" ht="13"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</row>
    <row r="1068" spans="17:28" ht="13"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</row>
    <row r="1069" spans="17:28" ht="13"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</row>
    <row r="1070" spans="17:28" ht="13"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</row>
    <row r="1071" spans="17:28" ht="13"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</row>
    <row r="1072" spans="17:28" ht="13"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</row>
    <row r="1073" spans="17:28" ht="13"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</row>
    <row r="1074" spans="17:28" ht="13"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</row>
    <row r="1075" spans="17:28" ht="13"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</row>
    <row r="1076" spans="17:28" ht="13"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</row>
    <row r="1077" spans="17:28" ht="13"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</row>
    <row r="1078" spans="17:28" ht="13"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</row>
    <row r="1079" spans="17:28" ht="13"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</row>
    <row r="1080" spans="17:28" ht="13"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</row>
    <row r="1081" spans="17:28" ht="13"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</row>
    <row r="1082" spans="17:28" ht="13"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</row>
    <row r="1083" spans="17:28" ht="13"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</row>
    <row r="1084" spans="17:28" ht="13"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</row>
    <row r="1085" spans="17:28" ht="13"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</row>
    <row r="1086" spans="17:28" ht="13"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</row>
    <row r="1087" spans="17:28" ht="13"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</row>
    <row r="1088" spans="17:28" ht="13"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</row>
    <row r="1089" spans="17:28" ht="13"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</row>
    <row r="1090" spans="17:28" ht="13"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</row>
    <row r="1091" spans="17:28" ht="13"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</row>
    <row r="1092" spans="17:28" ht="13"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</row>
    <row r="1093" spans="17:28" ht="13"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</row>
    <row r="1094" spans="17:28" ht="13"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</row>
    <row r="1095" spans="17:28" ht="13"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</row>
    <row r="1096" spans="17:28" ht="13"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</row>
    <row r="1097" spans="17:28" ht="13"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</row>
    <row r="1098" spans="17:28" ht="13"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</row>
    <row r="1099" spans="17:28" ht="13"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</row>
    <row r="1100" spans="17:28" ht="13"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</row>
    <row r="1101" spans="17:28" ht="13"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</row>
    <row r="1102" spans="17:28" ht="13"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</row>
    <row r="1103" spans="17:28" ht="13"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</row>
    <row r="1104" spans="17:28" ht="13"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</row>
    <row r="1105" spans="17:28" ht="13"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</row>
    <row r="1106" spans="17:28" ht="13"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</row>
    <row r="1107" spans="17:28" ht="13"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</row>
    <row r="1108" spans="17:28" ht="13"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</row>
    <row r="1109" spans="17:28" ht="13"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</row>
    <row r="1110" spans="17:28" ht="13"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</row>
    <row r="1111" spans="17:28" ht="13"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</row>
    <row r="1112" spans="17:28" ht="13"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</row>
    <row r="1113" spans="17:28" ht="13"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</row>
    <row r="1114" spans="17:28" ht="13"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</row>
    <row r="1115" spans="17:28" ht="13"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</row>
    <row r="1116" spans="17:28" ht="13"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</row>
    <row r="1117" spans="17:28" ht="13"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</row>
    <row r="1118" spans="17:28" ht="13"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</row>
    <row r="1119" spans="17:28" ht="13"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</row>
    <row r="1120" spans="17:28" ht="13"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</row>
    <row r="1121" spans="17:28" ht="13"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</row>
    <row r="1122" spans="17:28" ht="13"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</row>
    <row r="1123" spans="17:28" ht="13"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</row>
    <row r="1124" spans="17:28" ht="13"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</row>
    <row r="1125" spans="17:28" ht="13"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</row>
    <row r="1126" spans="17:28" ht="13"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</row>
    <row r="1127" spans="17:28" ht="13"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</row>
    <row r="1128" spans="17:28" ht="13"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</row>
    <row r="1129" spans="17:28" ht="13"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</row>
    <row r="1130" spans="17:28" ht="13"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</row>
    <row r="1131" spans="17:28" ht="13"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</row>
    <row r="1132" spans="17:28" ht="13"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</row>
    <row r="1133" spans="17:28" ht="13"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</row>
    <row r="1134" spans="17:28" ht="13"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</row>
    <row r="1135" spans="17:28" ht="13"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</row>
    <row r="1136" spans="17:28" ht="13"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</row>
    <row r="1137" spans="17:28" ht="13"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</row>
    <row r="1138" spans="17:28" ht="13"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</row>
    <row r="1139" spans="17:28" ht="13"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</row>
    <row r="1140" spans="17:28" ht="13"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</row>
    <row r="1141" spans="17:28" ht="13"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</row>
    <row r="1142" spans="17:28" ht="13"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</row>
    <row r="1143" spans="17:28" ht="13"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</row>
    <row r="1144" spans="17:28" ht="13"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</row>
    <row r="1145" spans="17:28" ht="13"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</row>
    <row r="1146" spans="17:28" ht="13"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</row>
    <row r="1147" spans="17:28" ht="13"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</row>
    <row r="1148" spans="17:28" ht="13"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</row>
    <row r="1149" spans="17:28" ht="13"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</row>
    <row r="1150" spans="17:28" ht="13"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</row>
    <row r="1151" spans="17:28" ht="13"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</row>
    <row r="1152" spans="17:28" ht="13"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</row>
    <row r="1153" spans="17:28" ht="13"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</row>
    <row r="1154" spans="17:28" ht="13"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</row>
    <row r="1155" spans="17:28" ht="13"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</row>
    <row r="1156" spans="17:28" ht="13"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</row>
    <row r="1157" spans="17:28" ht="13"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</row>
    <row r="1158" spans="17:28" ht="13"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</row>
    <row r="1159" spans="17:28" ht="13"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</row>
    <row r="1160" spans="17:28" ht="13"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</row>
    <row r="1161" spans="17:28" ht="13"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</row>
    <row r="1162" spans="17:28" ht="13"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</row>
    <row r="1163" spans="17:28" ht="13"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</row>
    <row r="1164" spans="17:28" ht="13"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</row>
    <row r="1165" spans="17:28" ht="13"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</row>
    <row r="1166" spans="17:28" ht="13"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</row>
    <row r="1167" spans="17:28" ht="13"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</row>
    <row r="1168" spans="17:28" ht="13"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</row>
    <row r="1169" spans="17:28" ht="13"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</row>
    <row r="1170" spans="17:28" ht="13"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</row>
    <row r="1171" spans="17:28" ht="13"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</row>
    <row r="1172" spans="17:28" ht="13"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</row>
    <row r="1173" spans="17:28" ht="13"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</row>
    <row r="1174" spans="17:28" ht="13"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</row>
    <row r="1175" spans="17:28" ht="13"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</row>
    <row r="1176" spans="17:28" ht="13"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</row>
    <row r="1177" spans="17:28" ht="13"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</row>
    <row r="1178" spans="17:28" ht="13"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</row>
    <row r="1179" spans="17:28" ht="13"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</row>
    <row r="1180" spans="17:28" ht="13"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</row>
    <row r="1181" spans="17:28" ht="13"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</row>
    <row r="1182" spans="17:28" ht="13"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</row>
    <row r="1183" spans="17:28" ht="13"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</row>
    <row r="1184" spans="17:28" ht="13"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</row>
    <row r="1185" spans="17:28" ht="13"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</row>
    <row r="1186" spans="17:28" ht="13"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</row>
    <row r="1187" spans="17:28" ht="13"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</row>
    <row r="1188" spans="17:28" ht="13"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</row>
    <row r="1189" spans="17:28" ht="13"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</row>
    <row r="1190" spans="17:28" ht="13"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</row>
    <row r="1191" spans="17:28" ht="13"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</row>
    <row r="1192" spans="17:28" ht="13"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</row>
    <row r="1193" spans="17:28" ht="13"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</row>
    <row r="1194" spans="17:28" ht="13"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</row>
    <row r="1195" spans="17:28" ht="13"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</row>
    <row r="1196" spans="17:28" ht="13"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</row>
    <row r="1197" spans="17:28" ht="13"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</row>
    <row r="1198" spans="17:28" ht="13"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</row>
    <row r="1199" spans="17:28" ht="13"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</row>
    <row r="1200" spans="17:28" ht="13"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</row>
    <row r="1201" spans="17:28" ht="13"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</row>
    <row r="1202" spans="17:28" ht="13"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</row>
    <row r="1203" spans="17:28" ht="13"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</row>
    <row r="1204" spans="17:28" ht="13"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</row>
    <row r="1205" spans="17:28" ht="13"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</row>
    <row r="1206" spans="17:28" ht="13"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</row>
    <row r="1207" spans="17:28" ht="13"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</row>
    <row r="1208" spans="17:28" ht="13"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</row>
    <row r="1209" spans="17:28" ht="13"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</row>
    <row r="1210" spans="17:28" ht="13"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</row>
    <row r="1211" spans="17:28" ht="13"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</row>
    <row r="1212" spans="17:28" ht="13"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</row>
    <row r="1213" spans="17:28" ht="13"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</row>
    <row r="1214" spans="17:28" ht="13"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</row>
    <row r="1215" spans="17:28" ht="13"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</row>
    <row r="1216" spans="17:28" ht="13"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</row>
    <row r="1217" spans="17:28" ht="13"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</row>
    <row r="1218" spans="17:28" ht="13"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</row>
    <row r="1219" spans="17:28" ht="13"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</row>
  </sheetData>
  <autoFilter ref="A5:P253" xr:uid="{00000000-0009-0000-0000-000003000000}"/>
  <mergeCells count="11">
    <mergeCell ref="I267:J267"/>
    <mergeCell ref="I268:J268"/>
    <mergeCell ref="I269:J269"/>
    <mergeCell ref="I270:J270"/>
    <mergeCell ref="D1:O1"/>
    <mergeCell ref="D2:O2"/>
    <mergeCell ref="G3:J3"/>
    <mergeCell ref="K3:L3"/>
    <mergeCell ref="I264:J264"/>
    <mergeCell ref="I265:J265"/>
    <mergeCell ref="I266:J26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16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5" max="5" width="10" customWidth="1"/>
    <col min="6" max="6" width="22.1640625" customWidth="1"/>
    <col min="9" max="9" width="20.83203125" customWidth="1"/>
    <col min="12" max="12" width="20.5" customWidth="1"/>
    <col min="13" max="13" width="19" customWidth="1"/>
    <col min="14" max="14" width="6.6640625" customWidth="1"/>
    <col min="15" max="15" width="11" customWidth="1"/>
    <col min="18" max="29" width="12.6640625" hidden="1"/>
  </cols>
  <sheetData>
    <row r="1" spans="1:29" ht="16" hidden="1">
      <c r="A1" s="174"/>
      <c r="B1" s="175"/>
      <c r="C1" s="175"/>
      <c r="D1" s="264" t="s">
        <v>2077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37" t="s">
        <v>2119</v>
      </c>
      <c r="R1" s="238" t="s">
        <v>43</v>
      </c>
      <c r="S1" s="232"/>
      <c r="T1" s="232"/>
      <c r="U1" s="232"/>
      <c r="V1" s="232"/>
    </row>
    <row r="2" spans="1:29" ht="16" hidden="1">
      <c r="A2" s="174"/>
      <c r="B2" s="178"/>
      <c r="C2" s="178"/>
      <c r="D2" s="265">
        <v>46141</v>
      </c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37" t="s">
        <v>2120</v>
      </c>
      <c r="R2" s="238" t="s">
        <v>49</v>
      </c>
      <c r="S2" s="232"/>
      <c r="T2" s="232"/>
      <c r="U2" s="232"/>
      <c r="V2" s="232"/>
    </row>
    <row r="3" spans="1:29" ht="16" hidden="1">
      <c r="A3" s="174"/>
      <c r="B3" s="178"/>
      <c r="C3" s="178"/>
      <c r="D3" s="180" t="s">
        <v>1441</v>
      </c>
      <c r="E3" s="181"/>
      <c r="F3" s="181"/>
      <c r="G3" s="264" t="s">
        <v>2078</v>
      </c>
      <c r="H3" s="253"/>
      <c r="I3" s="253"/>
      <c r="J3" s="253"/>
      <c r="K3" s="266"/>
      <c r="L3" s="253"/>
      <c r="M3" s="253"/>
      <c r="N3" s="176"/>
      <c r="O3" s="181"/>
      <c r="P3" s="181"/>
      <c r="Q3" s="237" t="s">
        <v>2121</v>
      </c>
      <c r="R3" s="238" t="s">
        <v>51</v>
      </c>
      <c r="S3" s="232"/>
      <c r="T3" s="232"/>
      <c r="U3" s="232"/>
      <c r="V3" s="232"/>
    </row>
    <row r="4" spans="1:29" ht="16" hidden="1">
      <c r="A4" s="174"/>
      <c r="B4" s="182"/>
      <c r="C4" s="182"/>
      <c r="D4" s="183"/>
      <c r="E4" s="184"/>
      <c r="F4" s="184" t="e">
        <v>#N/A</v>
      </c>
      <c r="G4" s="185"/>
      <c r="H4" s="185"/>
      <c r="I4" s="185"/>
      <c r="J4" s="185"/>
      <c r="K4" s="186">
        <v>2</v>
      </c>
      <c r="L4" s="186"/>
      <c r="M4" s="186">
        <v>2</v>
      </c>
      <c r="N4" s="186"/>
      <c r="O4" s="184" t="e">
        <v>#N/A</v>
      </c>
      <c r="P4" s="181"/>
      <c r="Q4" s="237" t="s">
        <v>2122</v>
      </c>
      <c r="R4" s="238" t="s">
        <v>53</v>
      </c>
      <c r="S4" s="232"/>
      <c r="T4" s="232"/>
      <c r="U4" s="232"/>
      <c r="V4" s="232"/>
    </row>
    <row r="5" spans="1:29" ht="16">
      <c r="A5" s="187" t="s">
        <v>2079</v>
      </c>
      <c r="B5" s="188" t="s">
        <v>2080</v>
      </c>
      <c r="C5" s="239" t="s">
        <v>2081</v>
      </c>
      <c r="D5" s="188" t="s">
        <v>1446</v>
      </c>
      <c r="E5" s="188" t="s">
        <v>2082</v>
      </c>
      <c r="F5" s="188" t="s">
        <v>1448</v>
      </c>
      <c r="G5" s="188" t="s">
        <v>2083</v>
      </c>
      <c r="H5" s="188" t="s">
        <v>2084</v>
      </c>
      <c r="I5" s="188" t="s">
        <v>2086</v>
      </c>
      <c r="J5" s="188" t="s">
        <v>1450</v>
      </c>
      <c r="K5" s="188" t="s">
        <v>2123</v>
      </c>
      <c r="L5" s="188" t="s">
        <v>2086</v>
      </c>
      <c r="M5" s="188" t="s">
        <v>1450</v>
      </c>
      <c r="N5" s="188" t="s">
        <v>1454</v>
      </c>
      <c r="O5" s="188" t="s">
        <v>1455</v>
      </c>
      <c r="P5" s="188" t="s">
        <v>1456</v>
      </c>
      <c r="Q5" s="188" t="s">
        <v>2087</v>
      </c>
      <c r="R5" s="232"/>
      <c r="S5" s="232"/>
      <c r="T5" s="232"/>
      <c r="U5" s="232"/>
      <c r="V5" s="232"/>
    </row>
    <row r="6" spans="1:29" ht="16">
      <c r="A6" s="190">
        <v>1</v>
      </c>
      <c r="B6" s="240" t="s">
        <v>97</v>
      </c>
      <c r="C6" s="241" t="s">
        <v>46</v>
      </c>
      <c r="D6" s="192">
        <v>46174</v>
      </c>
      <c r="E6" s="193" t="str">
        <f>VLOOKUP($C6,xe!$A:$B,2,0)</f>
        <v>50E-758,73</v>
      </c>
      <c r="F6" s="194" t="str">
        <f>VLOOKUP($B6,ma!$A:$B,2,0)</f>
        <v>Chuyển hàng MCC</v>
      </c>
      <c r="G6" s="195"/>
      <c r="H6" s="195"/>
      <c r="I6" s="196">
        <v>40000</v>
      </c>
      <c r="J6" s="195" t="s">
        <v>2124</v>
      </c>
      <c r="K6" s="196"/>
      <c r="L6" s="196"/>
      <c r="M6" s="195"/>
      <c r="N6" s="242">
        <v>4</v>
      </c>
      <c r="O6" s="198">
        <f>VLOOKUP($B6,ma!$A:$C,3,0)</f>
        <v>414000</v>
      </c>
      <c r="P6" s="198">
        <f t="shared" ref="P6:P99" si="0">N6*O6</f>
        <v>1656000</v>
      </c>
      <c r="Q6" s="198">
        <f t="shared" ref="Q6:Q99" si="1">N6*50000</f>
        <v>200000</v>
      </c>
      <c r="R6" s="177"/>
      <c r="S6" s="177"/>
      <c r="T6" s="177"/>
      <c r="U6" s="177"/>
      <c r="V6" s="177"/>
      <c r="W6" s="22"/>
      <c r="X6" s="22"/>
      <c r="Y6" s="22"/>
      <c r="Z6" s="22"/>
      <c r="AA6" s="22"/>
      <c r="AB6" s="22"/>
      <c r="AC6" s="22"/>
    </row>
    <row r="7" spans="1:29" ht="16">
      <c r="A7" s="190">
        <f t="shared" ref="A7:A99" si="2">A6+1</f>
        <v>2</v>
      </c>
      <c r="B7" s="240" t="s">
        <v>465</v>
      </c>
      <c r="C7" s="241" t="s">
        <v>48</v>
      </c>
      <c r="D7" s="192">
        <v>46174</v>
      </c>
      <c r="E7" s="199" t="str">
        <f>VLOOKUP($C7,xe!$A:$B,2,0)</f>
        <v>50H-55294</v>
      </c>
      <c r="F7" s="194" t="str">
        <f>VLOOKUP($B7,ma!$A:$B,2,0)</f>
        <v>Chuyển Hàng ndfc</v>
      </c>
      <c r="G7" s="195"/>
      <c r="H7" s="195"/>
      <c r="I7" s="196"/>
      <c r="J7" s="195"/>
      <c r="K7" s="196"/>
      <c r="L7" s="196"/>
      <c r="M7" s="195"/>
      <c r="N7" s="242">
        <v>3</v>
      </c>
      <c r="O7" s="198">
        <f>VLOOKUP($B7,ma!$A:$C,3,0)</f>
        <v>410000</v>
      </c>
      <c r="P7" s="198">
        <f t="shared" si="0"/>
        <v>1230000</v>
      </c>
      <c r="Q7" s="198">
        <f t="shared" si="1"/>
        <v>150000</v>
      </c>
      <c r="R7" s="209"/>
      <c r="S7" s="209"/>
      <c r="T7" s="209"/>
      <c r="U7" s="209"/>
      <c r="V7" s="209"/>
      <c r="W7" s="210"/>
      <c r="X7" s="210"/>
      <c r="Y7" s="210"/>
      <c r="Z7" s="210"/>
      <c r="AA7" s="210"/>
      <c r="AB7" s="210"/>
      <c r="AC7" s="210"/>
    </row>
    <row r="8" spans="1:29" ht="16">
      <c r="A8" s="190">
        <f t="shared" si="2"/>
        <v>3</v>
      </c>
      <c r="B8" s="240" t="s">
        <v>2125</v>
      </c>
      <c r="C8" s="241" t="s">
        <v>50</v>
      </c>
      <c r="D8" s="192">
        <v>46174</v>
      </c>
      <c r="E8" s="199" t="str">
        <f>VLOOKUP($C8,xe!$A:$B,2,0)</f>
        <v>50H-55129</v>
      </c>
      <c r="F8" s="194" t="str">
        <f>VLOOKUP($B8,ma!$A:$B,2,0)</f>
        <v>Chuyển hàng Calofic</v>
      </c>
      <c r="G8" s="195"/>
      <c r="H8" s="195"/>
      <c r="I8" s="196"/>
      <c r="J8" s="195"/>
      <c r="K8" s="196"/>
      <c r="L8" s="196"/>
      <c r="M8" s="195"/>
      <c r="N8" s="242">
        <v>11</v>
      </c>
      <c r="O8" s="198">
        <f>VLOOKUP($B8,ma!$A:$C,3,0)</f>
        <v>180000</v>
      </c>
      <c r="P8" s="198">
        <f t="shared" si="0"/>
        <v>1980000</v>
      </c>
      <c r="Q8" s="198">
        <f t="shared" si="1"/>
        <v>550000</v>
      </c>
      <c r="R8" s="177"/>
      <c r="S8" s="177"/>
      <c r="T8" s="177"/>
      <c r="U8" s="177"/>
      <c r="V8" s="177"/>
      <c r="W8" s="22"/>
      <c r="X8" s="22"/>
      <c r="Y8" s="22"/>
      <c r="Z8" s="22"/>
      <c r="AA8" s="22"/>
      <c r="AB8" s="22"/>
      <c r="AC8" s="22"/>
    </row>
    <row r="9" spans="1:29" ht="16">
      <c r="A9" s="190">
        <f t="shared" si="2"/>
        <v>4</v>
      </c>
      <c r="B9" s="240" t="s">
        <v>2125</v>
      </c>
      <c r="C9" s="241" t="s">
        <v>52</v>
      </c>
      <c r="D9" s="192">
        <v>46174</v>
      </c>
      <c r="E9" s="199" t="str">
        <f>VLOOKUP($C9,xe!$A:$B,2,0)</f>
        <v>50H-69717</v>
      </c>
      <c r="F9" s="194" t="str">
        <f>VLOOKUP($B9,ma!$A:$B,2,0)</f>
        <v>Chuyển hàng Calofic</v>
      </c>
      <c r="G9" s="195"/>
      <c r="H9" s="195"/>
      <c r="I9" s="196"/>
      <c r="J9" s="195"/>
      <c r="K9" s="196"/>
      <c r="L9" s="196"/>
      <c r="M9" s="195"/>
      <c r="N9" s="242">
        <v>9</v>
      </c>
      <c r="O9" s="198">
        <f>VLOOKUP($B9,ma!$A:$C,3,0)</f>
        <v>180000</v>
      </c>
      <c r="P9" s="198">
        <f t="shared" si="0"/>
        <v>1620000</v>
      </c>
      <c r="Q9" s="198">
        <f t="shared" si="1"/>
        <v>450000</v>
      </c>
      <c r="R9" s="177"/>
      <c r="S9" s="177"/>
      <c r="T9" s="177"/>
      <c r="U9" s="177"/>
      <c r="V9" s="177"/>
      <c r="W9" s="22"/>
      <c r="X9" s="22"/>
      <c r="Y9" s="22"/>
      <c r="Z9" s="22"/>
      <c r="AA9" s="22"/>
      <c r="AB9" s="22"/>
      <c r="AC9" s="22"/>
    </row>
    <row r="10" spans="1:29" ht="16">
      <c r="A10" s="200">
        <f t="shared" si="2"/>
        <v>5</v>
      </c>
      <c r="B10" s="243" t="s">
        <v>97</v>
      </c>
      <c r="C10" s="244" t="s">
        <v>46</v>
      </c>
      <c r="D10" s="202">
        <v>46175</v>
      </c>
      <c r="E10" s="203" t="str">
        <f>VLOOKUP($C10,xe!$A:$B,2,0)</f>
        <v>50E-758,73</v>
      </c>
      <c r="F10" s="204" t="str">
        <f>VLOOKUP($B10,ma!$A:$B,2,0)</f>
        <v>Chuyển hàng MCC</v>
      </c>
      <c r="G10" s="205"/>
      <c r="H10" s="205"/>
      <c r="I10" s="206">
        <v>20000</v>
      </c>
      <c r="J10" s="205" t="s">
        <v>2124</v>
      </c>
      <c r="K10" s="206"/>
      <c r="L10" s="206"/>
      <c r="M10" s="205"/>
      <c r="N10" s="245">
        <v>4</v>
      </c>
      <c r="O10" s="208">
        <f>VLOOKUP($B10,ma!$A:$C,3,0)</f>
        <v>414000</v>
      </c>
      <c r="P10" s="208">
        <f t="shared" si="0"/>
        <v>1656000</v>
      </c>
      <c r="Q10" s="208">
        <f t="shared" si="1"/>
        <v>200000</v>
      </c>
      <c r="R10" s="209"/>
      <c r="S10" s="209"/>
      <c r="T10" s="209"/>
      <c r="U10" s="209"/>
      <c r="V10" s="209"/>
      <c r="W10" s="210"/>
      <c r="X10" s="210"/>
      <c r="Y10" s="210"/>
      <c r="Z10" s="210"/>
      <c r="AA10" s="210"/>
      <c r="AB10" s="210"/>
      <c r="AC10" s="210"/>
    </row>
    <row r="11" spans="1:29" ht="16">
      <c r="A11" s="190">
        <f t="shared" si="2"/>
        <v>6</v>
      </c>
      <c r="B11" s="240" t="s">
        <v>465</v>
      </c>
      <c r="C11" s="241" t="s">
        <v>48</v>
      </c>
      <c r="D11" s="192">
        <v>46175</v>
      </c>
      <c r="E11" s="199" t="str">
        <f>VLOOKUP($C11,xe!$A:$B,2,0)</f>
        <v>50H-55294</v>
      </c>
      <c r="F11" s="194" t="str">
        <f>VLOOKUP($B11,ma!$A:$B,2,0)</f>
        <v>Chuyển Hàng ndfc</v>
      </c>
      <c r="G11" s="195"/>
      <c r="H11" s="195"/>
      <c r="I11" s="196"/>
      <c r="J11" s="195"/>
      <c r="K11" s="196"/>
      <c r="L11" s="196"/>
      <c r="M11" s="195"/>
      <c r="N11" s="242">
        <v>4</v>
      </c>
      <c r="O11" s="198">
        <f>VLOOKUP($B11,ma!$A:$C,3,0)</f>
        <v>410000</v>
      </c>
      <c r="P11" s="198">
        <f t="shared" si="0"/>
        <v>1640000</v>
      </c>
      <c r="Q11" s="198">
        <f t="shared" si="1"/>
        <v>200000</v>
      </c>
      <c r="R11" s="209"/>
      <c r="S11" s="209"/>
      <c r="T11" s="209"/>
      <c r="U11" s="209"/>
      <c r="V11" s="209"/>
      <c r="W11" s="210"/>
      <c r="X11" s="210"/>
      <c r="Y11" s="210"/>
      <c r="Z11" s="210"/>
      <c r="AA11" s="210"/>
      <c r="AB11" s="210"/>
      <c r="AC11" s="210"/>
    </row>
    <row r="12" spans="1:29" ht="16">
      <c r="A12" s="190">
        <f t="shared" si="2"/>
        <v>7</v>
      </c>
      <c r="B12" s="240" t="s">
        <v>2125</v>
      </c>
      <c r="C12" s="241" t="s">
        <v>50</v>
      </c>
      <c r="D12" s="192">
        <v>46175</v>
      </c>
      <c r="E12" s="199" t="str">
        <f>VLOOKUP($C12,xe!$A:$B,2,0)</f>
        <v>50H-55129</v>
      </c>
      <c r="F12" s="194" t="str">
        <f>VLOOKUP($B12,ma!$A:$B,2,0)</f>
        <v>Chuyển hàng Calofic</v>
      </c>
      <c r="G12" s="195"/>
      <c r="H12" s="195"/>
      <c r="I12" s="196"/>
      <c r="J12" s="195"/>
      <c r="K12" s="196"/>
      <c r="L12" s="196"/>
      <c r="M12" s="195"/>
      <c r="N12" s="242">
        <v>8</v>
      </c>
      <c r="O12" s="198">
        <f>VLOOKUP($B12,ma!$A:$C,3,0)</f>
        <v>180000</v>
      </c>
      <c r="P12" s="198">
        <f t="shared" si="0"/>
        <v>1440000</v>
      </c>
      <c r="Q12" s="198">
        <f t="shared" si="1"/>
        <v>400000</v>
      </c>
      <c r="R12" s="177"/>
      <c r="S12" s="177"/>
      <c r="T12" s="177"/>
      <c r="U12" s="177"/>
      <c r="V12" s="177"/>
      <c r="W12" s="22"/>
      <c r="X12" s="22"/>
      <c r="Y12" s="22"/>
      <c r="Z12" s="22"/>
      <c r="AA12" s="22"/>
      <c r="AB12" s="22"/>
      <c r="AC12" s="22"/>
    </row>
    <row r="13" spans="1:29" ht="16">
      <c r="A13" s="190">
        <f t="shared" si="2"/>
        <v>8</v>
      </c>
      <c r="B13" s="240" t="s">
        <v>2125</v>
      </c>
      <c r="C13" s="241" t="s">
        <v>52</v>
      </c>
      <c r="D13" s="192">
        <v>46175</v>
      </c>
      <c r="E13" s="199" t="str">
        <f>VLOOKUP($C13,xe!$A:$B,2,0)</f>
        <v>50H-69717</v>
      </c>
      <c r="F13" s="194" t="str">
        <f>VLOOKUP($B13,ma!$A:$B,2,0)</f>
        <v>Chuyển hàng Calofic</v>
      </c>
      <c r="G13" s="195"/>
      <c r="H13" s="195"/>
      <c r="I13" s="196"/>
      <c r="J13" s="195"/>
      <c r="K13" s="196"/>
      <c r="L13" s="196"/>
      <c r="M13" s="195"/>
      <c r="N13" s="242">
        <v>10</v>
      </c>
      <c r="O13" s="198">
        <f>VLOOKUP($B13,ma!$A:$C,3,0)</f>
        <v>180000</v>
      </c>
      <c r="P13" s="198">
        <f t="shared" si="0"/>
        <v>1800000</v>
      </c>
      <c r="Q13" s="198">
        <f t="shared" si="1"/>
        <v>500000</v>
      </c>
      <c r="R13" s="177"/>
      <c r="S13" s="177"/>
      <c r="T13" s="177"/>
      <c r="U13" s="177"/>
      <c r="V13" s="177"/>
      <c r="W13" s="22"/>
      <c r="X13" s="22"/>
      <c r="Y13" s="22"/>
      <c r="Z13" s="22"/>
      <c r="AA13" s="22"/>
      <c r="AB13" s="22"/>
      <c r="AC13" s="22"/>
    </row>
    <row r="14" spans="1:29" ht="16">
      <c r="A14" s="200">
        <f t="shared" si="2"/>
        <v>9</v>
      </c>
      <c r="B14" s="243" t="s">
        <v>97</v>
      </c>
      <c r="C14" s="244" t="s">
        <v>46</v>
      </c>
      <c r="D14" s="202">
        <v>46176</v>
      </c>
      <c r="E14" s="203" t="str">
        <f>VLOOKUP($C14,xe!$A:$B,2,0)</f>
        <v>50E-758,73</v>
      </c>
      <c r="F14" s="204" t="str">
        <f>VLOOKUP($B14,ma!$A:$B,2,0)</f>
        <v>Chuyển hàng MCC</v>
      </c>
      <c r="G14" s="205"/>
      <c r="H14" s="205"/>
      <c r="I14" s="206">
        <v>20000</v>
      </c>
      <c r="J14" s="205" t="s">
        <v>2124</v>
      </c>
      <c r="K14" s="206"/>
      <c r="L14" s="206"/>
      <c r="M14" s="205"/>
      <c r="N14" s="245">
        <v>4</v>
      </c>
      <c r="O14" s="208">
        <f>VLOOKUP($B14,ma!$A:$C,3,0)</f>
        <v>414000</v>
      </c>
      <c r="P14" s="208">
        <f t="shared" si="0"/>
        <v>1656000</v>
      </c>
      <c r="Q14" s="208">
        <f t="shared" si="1"/>
        <v>200000</v>
      </c>
      <c r="R14" s="209"/>
      <c r="S14" s="209"/>
      <c r="T14" s="209"/>
      <c r="U14" s="209"/>
      <c r="V14" s="209"/>
      <c r="W14" s="210"/>
      <c r="X14" s="210"/>
      <c r="Y14" s="210"/>
      <c r="Z14" s="210"/>
      <c r="AA14" s="210"/>
      <c r="AB14" s="210"/>
      <c r="AC14" s="210"/>
    </row>
    <row r="15" spans="1:29" ht="16">
      <c r="A15" s="190">
        <f t="shared" si="2"/>
        <v>10</v>
      </c>
      <c r="B15" s="240" t="s">
        <v>465</v>
      </c>
      <c r="C15" s="241" t="s">
        <v>48</v>
      </c>
      <c r="D15" s="192">
        <v>46176</v>
      </c>
      <c r="E15" s="199" t="str">
        <f>VLOOKUP($C15,xe!$A:$B,2,0)</f>
        <v>50H-55294</v>
      </c>
      <c r="F15" s="194" t="str">
        <f>VLOOKUP($B15,ma!$A:$B,2,0)</f>
        <v>Chuyển Hàng ndfc</v>
      </c>
      <c r="G15" s="195"/>
      <c r="H15" s="195"/>
      <c r="I15" s="196"/>
      <c r="J15" s="195"/>
      <c r="K15" s="196"/>
      <c r="L15" s="196"/>
      <c r="M15" s="195"/>
      <c r="N15" s="242">
        <v>4</v>
      </c>
      <c r="O15" s="198">
        <f>VLOOKUP($B15,ma!$A:$C,3,0)</f>
        <v>410000</v>
      </c>
      <c r="P15" s="198">
        <f t="shared" si="0"/>
        <v>1640000</v>
      </c>
      <c r="Q15" s="198">
        <f t="shared" si="1"/>
        <v>200000</v>
      </c>
      <c r="R15" s="209"/>
      <c r="S15" s="209"/>
      <c r="T15" s="209"/>
      <c r="U15" s="209"/>
      <c r="V15" s="209"/>
      <c r="W15" s="210"/>
      <c r="X15" s="210"/>
      <c r="Y15" s="210"/>
      <c r="Z15" s="210"/>
      <c r="AA15" s="210"/>
      <c r="AB15" s="210"/>
      <c r="AC15" s="210"/>
    </row>
    <row r="16" spans="1:29" ht="16">
      <c r="A16" s="190">
        <f t="shared" si="2"/>
        <v>11</v>
      </c>
      <c r="B16" s="240" t="s">
        <v>2125</v>
      </c>
      <c r="C16" s="241" t="s">
        <v>50</v>
      </c>
      <c r="D16" s="192">
        <v>46176</v>
      </c>
      <c r="E16" s="199" t="str">
        <f>VLOOKUP($C16,xe!$A:$B,2,0)</f>
        <v>50H-55129</v>
      </c>
      <c r="F16" s="194" t="str">
        <f>VLOOKUP($B16,ma!$A:$B,2,0)</f>
        <v>Chuyển hàng Calofic</v>
      </c>
      <c r="G16" s="195"/>
      <c r="H16" s="195"/>
      <c r="I16" s="196"/>
      <c r="J16" s="195"/>
      <c r="K16" s="196"/>
      <c r="L16" s="196"/>
      <c r="M16" s="195"/>
      <c r="N16" s="242">
        <v>8</v>
      </c>
      <c r="O16" s="198">
        <f>VLOOKUP($B16,ma!$A:$C,3,0)</f>
        <v>180000</v>
      </c>
      <c r="P16" s="198">
        <f t="shared" si="0"/>
        <v>1440000</v>
      </c>
      <c r="Q16" s="198">
        <f t="shared" si="1"/>
        <v>400000</v>
      </c>
      <c r="R16" s="177"/>
      <c r="S16" s="177"/>
      <c r="T16" s="177"/>
      <c r="U16" s="177"/>
      <c r="V16" s="177"/>
      <c r="W16" s="22"/>
      <c r="X16" s="22"/>
      <c r="Y16" s="22"/>
      <c r="Z16" s="22"/>
      <c r="AA16" s="22"/>
      <c r="AB16" s="22"/>
      <c r="AC16" s="22"/>
    </row>
    <row r="17" spans="1:29" ht="16">
      <c r="A17" s="190">
        <f t="shared" si="2"/>
        <v>12</v>
      </c>
      <c r="B17" s="240" t="s">
        <v>2125</v>
      </c>
      <c r="C17" s="241" t="s">
        <v>52</v>
      </c>
      <c r="D17" s="192">
        <v>46176</v>
      </c>
      <c r="E17" s="199" t="str">
        <f>VLOOKUP($C17,xe!$A:$B,2,0)</f>
        <v>50H-69717</v>
      </c>
      <c r="F17" s="194" t="str">
        <f>VLOOKUP($B17,ma!$A:$B,2,0)</f>
        <v>Chuyển hàng Calofic</v>
      </c>
      <c r="G17" s="195"/>
      <c r="H17" s="195"/>
      <c r="I17" s="196"/>
      <c r="J17" s="195"/>
      <c r="K17" s="196"/>
      <c r="L17" s="196"/>
      <c r="M17" s="195"/>
      <c r="N17" s="242">
        <v>7</v>
      </c>
      <c r="O17" s="198">
        <f>VLOOKUP($B17,ma!$A:$C,3,0)</f>
        <v>180000</v>
      </c>
      <c r="P17" s="198">
        <f t="shared" si="0"/>
        <v>1260000</v>
      </c>
      <c r="Q17" s="198">
        <f t="shared" si="1"/>
        <v>350000</v>
      </c>
      <c r="R17" s="177"/>
      <c r="S17" s="177"/>
      <c r="T17" s="177"/>
      <c r="U17" s="177"/>
      <c r="V17" s="177"/>
      <c r="W17" s="22"/>
      <c r="X17" s="22"/>
      <c r="Y17" s="22"/>
      <c r="Z17" s="22"/>
      <c r="AA17" s="22"/>
      <c r="AB17" s="22"/>
      <c r="AC17" s="22"/>
    </row>
    <row r="18" spans="1:29" ht="16">
      <c r="A18" s="200">
        <f t="shared" si="2"/>
        <v>13</v>
      </c>
      <c r="B18" s="243" t="s">
        <v>97</v>
      </c>
      <c r="C18" s="244" t="s">
        <v>46</v>
      </c>
      <c r="D18" s="202">
        <v>46177</v>
      </c>
      <c r="E18" s="203" t="str">
        <f>VLOOKUP($C18,xe!$A:$B,2,0)</f>
        <v>50E-758,73</v>
      </c>
      <c r="F18" s="204" t="str">
        <f>VLOOKUP($B18,ma!$A:$B,2,0)</f>
        <v>Chuyển hàng MCC</v>
      </c>
      <c r="G18" s="205"/>
      <c r="H18" s="205"/>
      <c r="I18" s="206">
        <v>20000</v>
      </c>
      <c r="J18" s="205" t="s">
        <v>2124</v>
      </c>
      <c r="K18" s="206"/>
      <c r="L18" s="206"/>
      <c r="M18" s="205"/>
      <c r="N18" s="245">
        <v>4</v>
      </c>
      <c r="O18" s="208">
        <f>VLOOKUP($B18,ma!$A:$C,3,0)</f>
        <v>414000</v>
      </c>
      <c r="P18" s="208">
        <f t="shared" si="0"/>
        <v>1656000</v>
      </c>
      <c r="Q18" s="208">
        <f t="shared" si="1"/>
        <v>200000</v>
      </c>
      <c r="R18" s="209"/>
      <c r="S18" s="209"/>
      <c r="T18" s="209"/>
      <c r="U18" s="209"/>
      <c r="V18" s="209"/>
      <c r="W18" s="210"/>
      <c r="X18" s="210"/>
      <c r="Y18" s="210"/>
      <c r="Z18" s="210"/>
      <c r="AA18" s="210"/>
      <c r="AB18" s="210"/>
      <c r="AC18" s="210"/>
    </row>
    <row r="19" spans="1:29" ht="16">
      <c r="A19" s="190">
        <f t="shared" si="2"/>
        <v>14</v>
      </c>
      <c r="B19" s="240" t="s">
        <v>465</v>
      </c>
      <c r="C19" s="241" t="s">
        <v>48</v>
      </c>
      <c r="D19" s="192">
        <v>46177</v>
      </c>
      <c r="E19" s="199" t="str">
        <f>VLOOKUP($C19,xe!$A:$B,2,0)</f>
        <v>50H-55294</v>
      </c>
      <c r="F19" s="194" t="str">
        <f>VLOOKUP($B19,ma!$A:$B,2,0)</f>
        <v>Chuyển Hàng ndfc</v>
      </c>
      <c r="G19" s="195"/>
      <c r="H19" s="195"/>
      <c r="I19" s="196"/>
      <c r="J19" s="195"/>
      <c r="K19" s="196"/>
      <c r="L19" s="196"/>
      <c r="M19" s="195"/>
      <c r="N19" s="242">
        <v>3</v>
      </c>
      <c r="O19" s="198">
        <f>VLOOKUP($B19,ma!$A:$C,3,0)</f>
        <v>410000</v>
      </c>
      <c r="P19" s="198">
        <f t="shared" si="0"/>
        <v>1230000</v>
      </c>
      <c r="Q19" s="198">
        <f t="shared" si="1"/>
        <v>150000</v>
      </c>
      <c r="R19" s="177"/>
      <c r="S19" s="177"/>
      <c r="T19" s="177"/>
      <c r="U19" s="177"/>
      <c r="V19" s="177"/>
      <c r="W19" s="22"/>
      <c r="X19" s="22"/>
      <c r="Y19" s="22"/>
      <c r="Z19" s="22"/>
      <c r="AA19" s="22"/>
      <c r="AB19" s="22"/>
      <c r="AC19" s="22"/>
    </row>
    <row r="20" spans="1:29" ht="16">
      <c r="A20" s="190">
        <f t="shared" si="2"/>
        <v>15</v>
      </c>
      <c r="B20" s="240" t="s">
        <v>2125</v>
      </c>
      <c r="C20" s="241" t="s">
        <v>50</v>
      </c>
      <c r="D20" s="192">
        <v>46177</v>
      </c>
      <c r="E20" s="199" t="str">
        <f>VLOOKUP($C20,xe!$A:$B,2,0)</f>
        <v>50H-55129</v>
      </c>
      <c r="F20" s="194" t="str">
        <f>VLOOKUP($B20,ma!$A:$B,2,0)</f>
        <v>Chuyển hàng Calofic</v>
      </c>
      <c r="G20" s="195"/>
      <c r="H20" s="195"/>
      <c r="I20" s="196"/>
      <c r="J20" s="195"/>
      <c r="K20" s="196"/>
      <c r="L20" s="196"/>
      <c r="M20" s="195"/>
      <c r="N20" s="242">
        <v>10</v>
      </c>
      <c r="O20" s="198">
        <f>VLOOKUP($B20,ma!$A:$C,3,0)</f>
        <v>180000</v>
      </c>
      <c r="P20" s="198">
        <f t="shared" si="0"/>
        <v>1800000</v>
      </c>
      <c r="Q20" s="198">
        <f t="shared" si="1"/>
        <v>500000</v>
      </c>
      <c r="R20" s="209"/>
      <c r="S20" s="209"/>
      <c r="T20" s="209"/>
      <c r="U20" s="209"/>
      <c r="V20" s="209"/>
      <c r="W20" s="210"/>
      <c r="X20" s="210"/>
      <c r="Y20" s="210"/>
      <c r="Z20" s="210"/>
      <c r="AA20" s="210"/>
      <c r="AB20" s="210"/>
      <c r="AC20" s="210"/>
    </row>
    <row r="21" spans="1:29" ht="16">
      <c r="A21" s="190">
        <f t="shared" si="2"/>
        <v>16</v>
      </c>
      <c r="B21" s="240" t="s">
        <v>2125</v>
      </c>
      <c r="C21" s="241" t="s">
        <v>52</v>
      </c>
      <c r="D21" s="192">
        <v>46177</v>
      </c>
      <c r="E21" s="199" t="str">
        <f>VLOOKUP($C21,xe!$A:$B,2,0)</f>
        <v>50H-69717</v>
      </c>
      <c r="F21" s="194" t="str">
        <f>VLOOKUP($B21,ma!$A:$B,2,0)</f>
        <v>Chuyển hàng Calofic</v>
      </c>
      <c r="G21" s="195"/>
      <c r="H21" s="195"/>
      <c r="I21" s="196"/>
      <c r="J21" s="195"/>
      <c r="K21" s="196"/>
      <c r="L21" s="196"/>
      <c r="M21" s="195"/>
      <c r="N21" s="242">
        <v>10</v>
      </c>
      <c r="O21" s="198">
        <f>VLOOKUP($B21,ma!$A:$C,3,0)</f>
        <v>180000</v>
      </c>
      <c r="P21" s="198">
        <f t="shared" si="0"/>
        <v>1800000</v>
      </c>
      <c r="Q21" s="198">
        <f t="shared" si="1"/>
        <v>500000</v>
      </c>
      <c r="R21" s="177"/>
      <c r="S21" s="177"/>
      <c r="T21" s="177"/>
      <c r="U21" s="177"/>
      <c r="V21" s="177"/>
      <c r="W21" s="22"/>
      <c r="X21" s="22"/>
      <c r="Y21" s="22"/>
      <c r="Z21" s="22"/>
      <c r="AA21" s="22"/>
      <c r="AB21" s="22"/>
      <c r="AC21" s="22"/>
    </row>
    <row r="22" spans="1:29" ht="16">
      <c r="A22" s="200">
        <f t="shared" si="2"/>
        <v>17</v>
      </c>
      <c r="B22" s="243" t="s">
        <v>97</v>
      </c>
      <c r="C22" s="244" t="s">
        <v>46</v>
      </c>
      <c r="D22" s="202">
        <v>46178</v>
      </c>
      <c r="E22" s="203" t="str">
        <f>VLOOKUP($C22,xe!$A:$B,2,0)</f>
        <v>50E-758,73</v>
      </c>
      <c r="F22" s="204" t="str">
        <f>VLOOKUP($B22,ma!$A:$B,2,0)</f>
        <v>Chuyển hàng MCC</v>
      </c>
      <c r="G22" s="205"/>
      <c r="H22" s="205"/>
      <c r="I22" s="206"/>
      <c r="J22" s="205"/>
      <c r="K22" s="206"/>
      <c r="L22" s="206"/>
      <c r="M22" s="205"/>
      <c r="N22" s="245">
        <v>4</v>
      </c>
      <c r="O22" s="208">
        <f>VLOOKUP($B22,ma!$A:$C,3,0)</f>
        <v>414000</v>
      </c>
      <c r="P22" s="208">
        <f t="shared" si="0"/>
        <v>1656000</v>
      </c>
      <c r="Q22" s="208">
        <f t="shared" si="1"/>
        <v>200000</v>
      </c>
      <c r="R22" s="209"/>
      <c r="S22" s="209"/>
      <c r="T22" s="209"/>
      <c r="U22" s="209"/>
      <c r="V22" s="209"/>
      <c r="W22" s="210"/>
      <c r="X22" s="210"/>
      <c r="Y22" s="210"/>
      <c r="Z22" s="210"/>
      <c r="AA22" s="210"/>
      <c r="AB22" s="210"/>
      <c r="AC22" s="210"/>
    </row>
    <row r="23" spans="1:29" ht="16">
      <c r="A23" s="190">
        <f t="shared" si="2"/>
        <v>18</v>
      </c>
      <c r="B23" s="240" t="s">
        <v>465</v>
      </c>
      <c r="C23" s="241" t="s">
        <v>48</v>
      </c>
      <c r="D23" s="192">
        <v>46178</v>
      </c>
      <c r="E23" s="199" t="str">
        <f>VLOOKUP($C23,xe!$A:$B,2,0)</f>
        <v>50H-55294</v>
      </c>
      <c r="F23" s="194" t="str">
        <f>VLOOKUP($B23,ma!$A:$B,2,0)</f>
        <v>Chuyển Hàng ndfc</v>
      </c>
      <c r="G23" s="195"/>
      <c r="H23" s="195"/>
      <c r="I23" s="196"/>
      <c r="J23" s="195"/>
      <c r="K23" s="196"/>
      <c r="L23" s="196"/>
      <c r="M23" s="195"/>
      <c r="N23" s="242">
        <v>3</v>
      </c>
      <c r="O23" s="198">
        <f>VLOOKUP($B23,ma!$A:$C,3,0)</f>
        <v>410000</v>
      </c>
      <c r="P23" s="198">
        <f t="shared" si="0"/>
        <v>1230000</v>
      </c>
      <c r="Q23" s="198">
        <f t="shared" si="1"/>
        <v>150000</v>
      </c>
      <c r="R23" s="209"/>
      <c r="S23" s="209"/>
      <c r="T23" s="209"/>
      <c r="U23" s="209"/>
      <c r="V23" s="209"/>
      <c r="W23" s="210"/>
      <c r="X23" s="210"/>
      <c r="Y23" s="210"/>
      <c r="Z23" s="210"/>
      <c r="AA23" s="210"/>
      <c r="AB23" s="210"/>
      <c r="AC23" s="210"/>
    </row>
    <row r="24" spans="1:29" ht="16">
      <c r="A24" s="190">
        <f t="shared" si="2"/>
        <v>19</v>
      </c>
      <c r="B24" s="240" t="s">
        <v>2125</v>
      </c>
      <c r="C24" s="241" t="s">
        <v>50</v>
      </c>
      <c r="D24" s="192">
        <v>46178</v>
      </c>
      <c r="E24" s="199" t="str">
        <f>VLOOKUP($C24,xe!$A:$B,2,0)</f>
        <v>50H-55129</v>
      </c>
      <c r="F24" s="194" t="str">
        <f>VLOOKUP($B24,ma!$A:$B,2,0)</f>
        <v>Chuyển hàng Calofic</v>
      </c>
      <c r="G24" s="195"/>
      <c r="H24" s="195"/>
      <c r="I24" s="196"/>
      <c r="J24" s="195"/>
      <c r="K24" s="196"/>
      <c r="L24" s="196"/>
      <c r="M24" s="195"/>
      <c r="N24" s="242">
        <v>10</v>
      </c>
      <c r="O24" s="198">
        <f>VLOOKUP($B24,ma!$A:$C,3,0)</f>
        <v>180000</v>
      </c>
      <c r="P24" s="198">
        <f t="shared" si="0"/>
        <v>1800000</v>
      </c>
      <c r="Q24" s="198">
        <f t="shared" si="1"/>
        <v>500000</v>
      </c>
      <c r="R24" s="177"/>
      <c r="S24" s="177"/>
      <c r="T24" s="177"/>
      <c r="U24" s="177"/>
      <c r="V24" s="177"/>
      <c r="W24" s="22"/>
      <c r="X24" s="22"/>
      <c r="Y24" s="22"/>
      <c r="Z24" s="22"/>
      <c r="AA24" s="22"/>
      <c r="AB24" s="22"/>
      <c r="AC24" s="22"/>
    </row>
    <row r="25" spans="1:29" ht="16">
      <c r="A25" s="190">
        <f t="shared" si="2"/>
        <v>20</v>
      </c>
      <c r="B25" s="240" t="s">
        <v>2125</v>
      </c>
      <c r="C25" s="241" t="s">
        <v>52</v>
      </c>
      <c r="D25" s="192">
        <v>46178</v>
      </c>
      <c r="E25" s="199" t="str">
        <f>VLOOKUP($C25,xe!$A:$B,2,0)</f>
        <v>50H-69717</v>
      </c>
      <c r="F25" s="194" t="str">
        <f>VLOOKUP($B25,ma!$A:$B,2,0)</f>
        <v>Chuyển hàng Calofic</v>
      </c>
      <c r="G25" s="195"/>
      <c r="H25" s="195"/>
      <c r="I25" s="196"/>
      <c r="J25" s="195"/>
      <c r="K25" s="196"/>
      <c r="L25" s="196"/>
      <c r="M25" s="195"/>
      <c r="N25" s="242">
        <v>6</v>
      </c>
      <c r="O25" s="198">
        <f>VLOOKUP($B25,ma!$A:$C,3,0)</f>
        <v>180000</v>
      </c>
      <c r="P25" s="198">
        <f t="shared" si="0"/>
        <v>1080000</v>
      </c>
      <c r="Q25" s="198">
        <f t="shared" si="1"/>
        <v>300000</v>
      </c>
      <c r="R25" s="177"/>
      <c r="S25" s="177"/>
      <c r="T25" s="177"/>
      <c r="U25" s="177"/>
      <c r="V25" s="177"/>
      <c r="W25" s="22"/>
      <c r="X25" s="22"/>
      <c r="Y25" s="22"/>
      <c r="Z25" s="22"/>
      <c r="AA25" s="22"/>
      <c r="AB25" s="22"/>
      <c r="AC25" s="22"/>
    </row>
    <row r="26" spans="1:29" ht="16">
      <c r="A26" s="200">
        <f t="shared" si="2"/>
        <v>21</v>
      </c>
      <c r="B26" s="243" t="s">
        <v>97</v>
      </c>
      <c r="C26" s="244" t="s">
        <v>46</v>
      </c>
      <c r="D26" s="202">
        <v>46179</v>
      </c>
      <c r="E26" s="203" t="str">
        <f>VLOOKUP($C26,xe!$A:$B,2,0)</f>
        <v>50E-758,73</v>
      </c>
      <c r="F26" s="204" t="str">
        <f>VLOOKUP($B26,ma!$A:$B,2,0)</f>
        <v>Chuyển hàng MCC</v>
      </c>
      <c r="G26" s="205"/>
      <c r="H26" s="205"/>
      <c r="I26" s="206"/>
      <c r="J26" s="205"/>
      <c r="K26" s="206"/>
      <c r="L26" s="206"/>
      <c r="M26" s="205"/>
      <c r="N26" s="245">
        <v>5</v>
      </c>
      <c r="O26" s="208">
        <f>VLOOKUP($B26,ma!$A:$C,3,0)</f>
        <v>414000</v>
      </c>
      <c r="P26" s="208">
        <f t="shared" si="0"/>
        <v>2070000</v>
      </c>
      <c r="Q26" s="208">
        <f t="shared" si="1"/>
        <v>250000</v>
      </c>
      <c r="R26" s="209"/>
      <c r="S26" s="209"/>
      <c r="T26" s="209"/>
      <c r="U26" s="209"/>
      <c r="V26" s="209"/>
      <c r="W26" s="210"/>
      <c r="X26" s="210"/>
      <c r="Y26" s="210"/>
      <c r="Z26" s="210"/>
      <c r="AA26" s="210"/>
      <c r="AB26" s="210"/>
      <c r="AC26" s="210"/>
    </row>
    <row r="27" spans="1:29" ht="16">
      <c r="A27" s="190">
        <f t="shared" si="2"/>
        <v>22</v>
      </c>
      <c r="B27" s="240" t="s">
        <v>465</v>
      </c>
      <c r="C27" s="241" t="s">
        <v>48</v>
      </c>
      <c r="D27" s="192">
        <v>46179</v>
      </c>
      <c r="E27" s="199" t="str">
        <f>VLOOKUP($C27,xe!$A:$B,2,0)</f>
        <v>50H-55294</v>
      </c>
      <c r="F27" s="194" t="str">
        <f>VLOOKUP($B27,ma!$A:$B,2,0)</f>
        <v>Chuyển Hàng ndfc</v>
      </c>
      <c r="G27" s="195"/>
      <c r="H27" s="195"/>
      <c r="I27" s="196"/>
      <c r="J27" s="195"/>
      <c r="K27" s="196"/>
      <c r="L27" s="196"/>
      <c r="M27" s="195"/>
      <c r="N27" s="242">
        <v>2</v>
      </c>
      <c r="O27" s="198">
        <f>VLOOKUP($B27,ma!$A:$C,3,0)</f>
        <v>410000</v>
      </c>
      <c r="P27" s="198">
        <f t="shared" si="0"/>
        <v>820000</v>
      </c>
      <c r="Q27" s="198">
        <f t="shared" si="1"/>
        <v>100000</v>
      </c>
      <c r="R27" s="177"/>
      <c r="S27" s="177"/>
      <c r="T27" s="177"/>
      <c r="U27" s="177"/>
      <c r="V27" s="177"/>
      <c r="W27" s="22"/>
      <c r="X27" s="22"/>
      <c r="Y27" s="22"/>
      <c r="Z27" s="22"/>
      <c r="AA27" s="22"/>
      <c r="AB27" s="22"/>
      <c r="AC27" s="22"/>
    </row>
    <row r="28" spans="1:29" ht="16">
      <c r="A28" s="190">
        <f t="shared" si="2"/>
        <v>23</v>
      </c>
      <c r="B28" s="240" t="s">
        <v>2125</v>
      </c>
      <c r="C28" s="241" t="s">
        <v>50</v>
      </c>
      <c r="D28" s="192">
        <v>46179</v>
      </c>
      <c r="E28" s="199" t="str">
        <f>VLOOKUP($C28,xe!$A:$B,2,0)</f>
        <v>50H-55129</v>
      </c>
      <c r="F28" s="194" t="str">
        <f>VLOOKUP($B28,ma!$A:$B,2,0)</f>
        <v>Chuyển hàng Calofic</v>
      </c>
      <c r="G28" s="195"/>
      <c r="H28" s="195"/>
      <c r="I28" s="196"/>
      <c r="J28" s="195"/>
      <c r="K28" s="196"/>
      <c r="L28" s="196"/>
      <c r="M28" s="195"/>
      <c r="N28" s="242">
        <v>6</v>
      </c>
      <c r="O28" s="198">
        <f>VLOOKUP($B28,ma!$A:$C,3,0)</f>
        <v>180000</v>
      </c>
      <c r="P28" s="198">
        <f t="shared" si="0"/>
        <v>1080000</v>
      </c>
      <c r="Q28" s="198">
        <f t="shared" si="1"/>
        <v>300000</v>
      </c>
      <c r="R28" s="177"/>
      <c r="S28" s="177"/>
      <c r="T28" s="177"/>
      <c r="U28" s="177"/>
      <c r="V28" s="177"/>
      <c r="W28" s="22"/>
      <c r="X28" s="22"/>
      <c r="Y28" s="22"/>
      <c r="Z28" s="22"/>
      <c r="AA28" s="22"/>
      <c r="AB28" s="22"/>
      <c r="AC28" s="22"/>
    </row>
    <row r="29" spans="1:29" ht="16">
      <c r="A29" s="190">
        <f t="shared" si="2"/>
        <v>24</v>
      </c>
      <c r="B29" s="240" t="s">
        <v>2125</v>
      </c>
      <c r="C29" s="241" t="s">
        <v>52</v>
      </c>
      <c r="D29" s="192">
        <v>46179</v>
      </c>
      <c r="E29" s="199" t="str">
        <f>VLOOKUP($C29,xe!$A:$B,2,0)</f>
        <v>50H-69717</v>
      </c>
      <c r="F29" s="194" t="str">
        <f>VLOOKUP($B29,ma!$A:$B,2,0)</f>
        <v>Chuyển hàng Calofic</v>
      </c>
      <c r="G29" s="195"/>
      <c r="H29" s="195"/>
      <c r="I29" s="196"/>
      <c r="J29" s="195"/>
      <c r="K29" s="196"/>
      <c r="L29" s="196"/>
      <c r="M29" s="195"/>
      <c r="N29" s="242">
        <v>7</v>
      </c>
      <c r="O29" s="198">
        <f>VLOOKUP($B29,ma!$A:$C,3,0)</f>
        <v>180000</v>
      </c>
      <c r="P29" s="198">
        <f t="shared" si="0"/>
        <v>1260000</v>
      </c>
      <c r="Q29" s="198">
        <f t="shared" si="1"/>
        <v>350000</v>
      </c>
      <c r="R29" s="177"/>
      <c r="S29" s="177"/>
      <c r="T29" s="177"/>
      <c r="U29" s="177"/>
      <c r="V29" s="177"/>
      <c r="W29" s="22"/>
      <c r="X29" s="22"/>
      <c r="Y29" s="22"/>
      <c r="Z29" s="22"/>
      <c r="AA29" s="22"/>
      <c r="AB29" s="22"/>
      <c r="AC29" s="22"/>
    </row>
    <row r="30" spans="1:29" ht="16">
      <c r="A30" s="200">
        <f t="shared" si="2"/>
        <v>25</v>
      </c>
      <c r="B30" s="243" t="s">
        <v>97</v>
      </c>
      <c r="C30" s="244" t="s">
        <v>46</v>
      </c>
      <c r="D30" s="202">
        <v>46181</v>
      </c>
      <c r="E30" s="203" t="str">
        <f>VLOOKUP($C30,xe!$A:$B,2,0)</f>
        <v>50E-758,73</v>
      </c>
      <c r="F30" s="204" t="str">
        <f>VLOOKUP($B30,ma!$A:$B,2,0)</f>
        <v>Chuyển hàng MCC</v>
      </c>
      <c r="G30" s="205"/>
      <c r="H30" s="205"/>
      <c r="I30" s="206">
        <v>20000</v>
      </c>
      <c r="J30" s="205" t="s">
        <v>2124</v>
      </c>
      <c r="K30" s="206"/>
      <c r="L30" s="206"/>
      <c r="M30" s="205"/>
      <c r="N30" s="245">
        <v>3</v>
      </c>
      <c r="O30" s="208">
        <f>VLOOKUP($B30,ma!$A:$C,3,0)</f>
        <v>414000</v>
      </c>
      <c r="P30" s="208">
        <f t="shared" si="0"/>
        <v>1242000</v>
      </c>
      <c r="Q30" s="208">
        <f t="shared" si="1"/>
        <v>150000</v>
      </c>
      <c r="R30" s="209"/>
      <c r="S30" s="209"/>
      <c r="T30" s="209"/>
      <c r="U30" s="209"/>
      <c r="V30" s="209"/>
      <c r="W30" s="210"/>
      <c r="X30" s="210"/>
      <c r="Y30" s="210"/>
      <c r="Z30" s="210"/>
      <c r="AA30" s="210"/>
      <c r="AB30" s="210"/>
      <c r="AC30" s="210"/>
    </row>
    <row r="31" spans="1:29" ht="16">
      <c r="A31" s="190">
        <f t="shared" si="2"/>
        <v>26</v>
      </c>
      <c r="B31" s="240" t="s">
        <v>465</v>
      </c>
      <c r="C31" s="241" t="s">
        <v>48</v>
      </c>
      <c r="D31" s="192">
        <v>46181</v>
      </c>
      <c r="E31" s="199" t="str">
        <f>VLOOKUP($C31,xe!$A:$B,2,0)</f>
        <v>50H-55294</v>
      </c>
      <c r="F31" s="194" t="str">
        <f>VLOOKUP($B31,ma!$A:$B,2,0)</f>
        <v>Chuyển Hàng ndfc</v>
      </c>
      <c r="G31" s="195"/>
      <c r="H31" s="195"/>
      <c r="I31" s="196"/>
      <c r="J31" s="195"/>
      <c r="K31" s="196"/>
      <c r="L31" s="196"/>
      <c r="M31" s="195"/>
      <c r="N31" s="242">
        <v>2</v>
      </c>
      <c r="O31" s="198">
        <f>VLOOKUP($B31,ma!$A:$C,3,0)</f>
        <v>410000</v>
      </c>
      <c r="P31" s="198">
        <f t="shared" si="0"/>
        <v>820000</v>
      </c>
      <c r="Q31" s="198">
        <f t="shared" si="1"/>
        <v>100000</v>
      </c>
      <c r="R31" s="177"/>
      <c r="S31" s="177"/>
      <c r="T31" s="177"/>
      <c r="U31" s="177"/>
      <c r="V31" s="177"/>
      <c r="W31" s="22"/>
      <c r="X31" s="22"/>
      <c r="Y31" s="22"/>
      <c r="Z31" s="22"/>
      <c r="AA31" s="22"/>
      <c r="AB31" s="22"/>
      <c r="AC31" s="22"/>
    </row>
    <row r="32" spans="1:29" ht="16">
      <c r="A32" s="190">
        <f t="shared" si="2"/>
        <v>27</v>
      </c>
      <c r="B32" s="240" t="s">
        <v>2125</v>
      </c>
      <c r="C32" s="241" t="s">
        <v>50</v>
      </c>
      <c r="D32" s="192">
        <v>46181</v>
      </c>
      <c r="E32" s="199" t="str">
        <f>VLOOKUP($C32,xe!$A:$B,2,0)</f>
        <v>50H-55129</v>
      </c>
      <c r="F32" s="194" t="str">
        <f>VLOOKUP($B32,ma!$A:$B,2,0)</f>
        <v>Chuyển hàng Calofic</v>
      </c>
      <c r="G32" s="195"/>
      <c r="H32" s="195"/>
      <c r="I32" s="196"/>
      <c r="J32" s="195"/>
      <c r="K32" s="196"/>
      <c r="L32" s="196"/>
      <c r="M32" s="195"/>
      <c r="N32" s="242">
        <v>7</v>
      </c>
      <c r="O32" s="198">
        <f>VLOOKUP($B32,ma!$A:$C,3,0)</f>
        <v>180000</v>
      </c>
      <c r="P32" s="198">
        <f t="shared" si="0"/>
        <v>1260000</v>
      </c>
      <c r="Q32" s="198">
        <f t="shared" si="1"/>
        <v>350000</v>
      </c>
      <c r="R32" s="177"/>
      <c r="S32" s="177"/>
      <c r="T32" s="177"/>
      <c r="U32" s="177"/>
      <c r="V32" s="177"/>
      <c r="W32" s="22"/>
      <c r="X32" s="22"/>
      <c r="Y32" s="22"/>
      <c r="Z32" s="22"/>
      <c r="AA32" s="22"/>
      <c r="AB32" s="22"/>
      <c r="AC32" s="22"/>
    </row>
    <row r="33" spans="1:29" ht="16">
      <c r="A33" s="200">
        <f t="shared" si="2"/>
        <v>28</v>
      </c>
      <c r="B33" s="243" t="s">
        <v>97</v>
      </c>
      <c r="C33" s="244" t="s">
        <v>46</v>
      </c>
      <c r="D33" s="202">
        <v>46182</v>
      </c>
      <c r="E33" s="203" t="str">
        <f>VLOOKUP($C33,xe!$A:$B,2,0)</f>
        <v>50E-758,73</v>
      </c>
      <c r="F33" s="204" t="str">
        <f>VLOOKUP($B33,ma!$A:$B,2,0)</f>
        <v>Chuyển hàng MCC</v>
      </c>
      <c r="G33" s="205"/>
      <c r="H33" s="205"/>
      <c r="I33" s="206">
        <v>20000</v>
      </c>
      <c r="J33" s="205" t="s">
        <v>2124</v>
      </c>
      <c r="K33" s="206"/>
      <c r="L33" s="206"/>
      <c r="M33" s="205"/>
      <c r="N33" s="245">
        <v>4</v>
      </c>
      <c r="O33" s="208">
        <f>VLOOKUP($B33,ma!$A:$C,3,0)</f>
        <v>414000</v>
      </c>
      <c r="P33" s="208">
        <f t="shared" si="0"/>
        <v>1656000</v>
      </c>
      <c r="Q33" s="208">
        <f t="shared" si="1"/>
        <v>200000</v>
      </c>
      <c r="R33" s="209"/>
      <c r="S33" s="209"/>
      <c r="T33" s="209"/>
      <c r="U33" s="209"/>
      <c r="V33" s="209"/>
      <c r="W33" s="210"/>
      <c r="X33" s="210"/>
      <c r="Y33" s="210"/>
      <c r="Z33" s="210"/>
      <c r="AA33" s="210"/>
      <c r="AB33" s="210"/>
      <c r="AC33" s="210"/>
    </row>
    <row r="34" spans="1:29" ht="16">
      <c r="A34" s="190">
        <f t="shared" si="2"/>
        <v>29</v>
      </c>
      <c r="B34" s="240" t="s">
        <v>465</v>
      </c>
      <c r="C34" s="241" t="s">
        <v>48</v>
      </c>
      <c r="D34" s="192">
        <v>46182</v>
      </c>
      <c r="E34" s="199" t="str">
        <f>VLOOKUP($C34,xe!$A:$B,2,0)</f>
        <v>50H-55294</v>
      </c>
      <c r="F34" s="194" t="str">
        <f>VLOOKUP($B34,ma!$A:$B,2,0)</f>
        <v>Chuyển Hàng ndfc</v>
      </c>
      <c r="G34" s="195"/>
      <c r="H34" s="195"/>
      <c r="I34" s="196"/>
      <c r="J34" s="195"/>
      <c r="K34" s="196"/>
      <c r="L34" s="196"/>
      <c r="M34" s="195"/>
      <c r="N34" s="242">
        <v>4</v>
      </c>
      <c r="O34" s="198">
        <f>VLOOKUP($B34,ma!$A:$C,3,0)</f>
        <v>410000</v>
      </c>
      <c r="P34" s="198">
        <f t="shared" si="0"/>
        <v>1640000</v>
      </c>
      <c r="Q34" s="198">
        <f t="shared" si="1"/>
        <v>200000</v>
      </c>
      <c r="R34" s="209"/>
      <c r="S34" s="209"/>
      <c r="T34" s="209"/>
      <c r="U34" s="209"/>
      <c r="V34" s="209"/>
      <c r="W34" s="210"/>
      <c r="X34" s="210"/>
      <c r="Y34" s="210"/>
      <c r="Z34" s="210"/>
      <c r="AA34" s="210"/>
      <c r="AB34" s="210"/>
      <c r="AC34" s="210"/>
    </row>
    <row r="35" spans="1:29" ht="16">
      <c r="A35" s="190">
        <f t="shared" si="2"/>
        <v>30</v>
      </c>
      <c r="B35" s="240" t="s">
        <v>2125</v>
      </c>
      <c r="C35" s="241" t="s">
        <v>50</v>
      </c>
      <c r="D35" s="192">
        <v>46182</v>
      </c>
      <c r="E35" s="199" t="str">
        <f>VLOOKUP($C35,xe!$A:$B,2,0)</f>
        <v>50H-55129</v>
      </c>
      <c r="F35" s="194" t="str">
        <f>VLOOKUP($B35,ma!$A:$B,2,0)</f>
        <v>Chuyển hàng Calofic</v>
      </c>
      <c r="G35" s="195"/>
      <c r="H35" s="195"/>
      <c r="I35" s="196"/>
      <c r="J35" s="195"/>
      <c r="K35" s="196"/>
      <c r="L35" s="196"/>
      <c r="M35" s="195"/>
      <c r="N35" s="242">
        <v>8</v>
      </c>
      <c r="O35" s="198">
        <f>VLOOKUP($B35,ma!$A:$C,3,0)</f>
        <v>180000</v>
      </c>
      <c r="P35" s="198">
        <f t="shared" si="0"/>
        <v>1440000</v>
      </c>
      <c r="Q35" s="198">
        <f t="shared" si="1"/>
        <v>400000</v>
      </c>
      <c r="R35" s="177"/>
      <c r="S35" s="177"/>
      <c r="T35" s="177"/>
      <c r="U35" s="177"/>
      <c r="V35" s="177"/>
      <c r="W35" s="22"/>
      <c r="X35" s="22"/>
      <c r="Y35" s="22"/>
      <c r="Z35" s="22"/>
      <c r="AA35" s="22"/>
      <c r="AB35" s="22"/>
      <c r="AC35" s="22"/>
    </row>
    <row r="36" spans="1:29" ht="16">
      <c r="A36" s="190">
        <f t="shared" si="2"/>
        <v>31</v>
      </c>
      <c r="B36" s="240" t="s">
        <v>2125</v>
      </c>
      <c r="C36" s="241" t="s">
        <v>52</v>
      </c>
      <c r="D36" s="192">
        <v>46182</v>
      </c>
      <c r="E36" s="199" t="str">
        <f>VLOOKUP($C36,xe!$A:$B,2,0)</f>
        <v>50H-69717</v>
      </c>
      <c r="F36" s="194" t="str">
        <f>VLOOKUP($B36,ma!$A:$B,2,0)</f>
        <v>Chuyển hàng Calofic</v>
      </c>
      <c r="G36" s="195"/>
      <c r="H36" s="195"/>
      <c r="I36" s="196"/>
      <c r="J36" s="195"/>
      <c r="K36" s="196"/>
      <c r="L36" s="196"/>
      <c r="M36" s="195"/>
      <c r="N36" s="242">
        <v>7</v>
      </c>
      <c r="O36" s="198">
        <f>VLOOKUP($B36,ma!$A:$C,3,0)</f>
        <v>180000</v>
      </c>
      <c r="P36" s="198">
        <f t="shared" si="0"/>
        <v>1260000</v>
      </c>
      <c r="Q36" s="198">
        <f t="shared" si="1"/>
        <v>350000</v>
      </c>
      <c r="R36" s="177"/>
      <c r="S36" s="177"/>
      <c r="T36" s="177"/>
      <c r="U36" s="177"/>
      <c r="V36" s="177"/>
      <c r="W36" s="22"/>
      <c r="X36" s="22"/>
      <c r="Y36" s="22"/>
      <c r="Z36" s="22"/>
      <c r="AA36" s="22"/>
      <c r="AB36" s="22"/>
      <c r="AC36" s="22"/>
    </row>
    <row r="37" spans="1:29" ht="16">
      <c r="A37" s="200">
        <f t="shared" si="2"/>
        <v>32</v>
      </c>
      <c r="B37" s="243" t="s">
        <v>97</v>
      </c>
      <c r="C37" s="244" t="s">
        <v>46</v>
      </c>
      <c r="D37" s="202">
        <v>46183</v>
      </c>
      <c r="E37" s="203" t="str">
        <f>VLOOKUP($C37,xe!$A:$B,2,0)</f>
        <v>50E-758,73</v>
      </c>
      <c r="F37" s="204" t="str">
        <f>VLOOKUP($B37,ma!$A:$B,2,0)</f>
        <v>Chuyển hàng MCC</v>
      </c>
      <c r="G37" s="205"/>
      <c r="H37" s="205"/>
      <c r="I37" s="206">
        <v>20000</v>
      </c>
      <c r="J37" s="205" t="s">
        <v>2124</v>
      </c>
      <c r="K37" s="206"/>
      <c r="L37" s="206"/>
      <c r="M37" s="205"/>
      <c r="N37" s="245">
        <v>3</v>
      </c>
      <c r="O37" s="208">
        <f>VLOOKUP($B37,ma!$A:$C,3,0)</f>
        <v>414000</v>
      </c>
      <c r="P37" s="208">
        <f t="shared" si="0"/>
        <v>1242000</v>
      </c>
      <c r="Q37" s="208">
        <f t="shared" si="1"/>
        <v>150000</v>
      </c>
      <c r="R37" s="209"/>
      <c r="S37" s="209"/>
      <c r="T37" s="209"/>
      <c r="U37" s="209"/>
      <c r="V37" s="209"/>
      <c r="W37" s="210"/>
      <c r="X37" s="210"/>
      <c r="Y37" s="210"/>
      <c r="Z37" s="210"/>
      <c r="AA37" s="210"/>
      <c r="AB37" s="210"/>
      <c r="AC37" s="210"/>
    </row>
    <row r="38" spans="1:29" ht="16">
      <c r="A38" s="190">
        <f t="shared" si="2"/>
        <v>33</v>
      </c>
      <c r="B38" s="240" t="s">
        <v>465</v>
      </c>
      <c r="C38" s="241" t="s">
        <v>48</v>
      </c>
      <c r="D38" s="192">
        <v>46183</v>
      </c>
      <c r="E38" s="199" t="str">
        <f>VLOOKUP($C38,xe!$A:$B,2,0)</f>
        <v>50H-55294</v>
      </c>
      <c r="F38" s="194" t="str">
        <f>VLOOKUP($B38,ma!$A:$B,2,0)</f>
        <v>Chuyển Hàng ndfc</v>
      </c>
      <c r="G38" s="195"/>
      <c r="H38" s="195"/>
      <c r="I38" s="196"/>
      <c r="J38" s="195"/>
      <c r="K38" s="196"/>
      <c r="L38" s="196"/>
      <c r="M38" s="195"/>
      <c r="N38" s="242">
        <v>4</v>
      </c>
      <c r="O38" s="198">
        <f>VLOOKUP($B38,ma!$A:$C,3,0)</f>
        <v>410000</v>
      </c>
      <c r="P38" s="198">
        <f t="shared" si="0"/>
        <v>1640000</v>
      </c>
      <c r="Q38" s="198">
        <f t="shared" si="1"/>
        <v>200000</v>
      </c>
      <c r="R38" s="209"/>
      <c r="S38" s="209"/>
      <c r="T38" s="209"/>
      <c r="U38" s="209"/>
      <c r="V38" s="209"/>
      <c r="W38" s="210"/>
      <c r="X38" s="210"/>
      <c r="Y38" s="210"/>
      <c r="Z38" s="210"/>
      <c r="AA38" s="210"/>
      <c r="AB38" s="210"/>
      <c r="AC38" s="210"/>
    </row>
    <row r="39" spans="1:29" ht="16">
      <c r="A39" s="190">
        <f t="shared" si="2"/>
        <v>34</v>
      </c>
      <c r="B39" s="240" t="s">
        <v>2125</v>
      </c>
      <c r="C39" s="241" t="s">
        <v>50</v>
      </c>
      <c r="D39" s="192">
        <v>46183</v>
      </c>
      <c r="E39" s="199" t="str">
        <f>VLOOKUP($C39,xe!$A:$B,2,0)</f>
        <v>50H-55129</v>
      </c>
      <c r="F39" s="194" t="str">
        <f>VLOOKUP($B39,ma!$A:$B,2,0)</f>
        <v>Chuyển hàng Calofic</v>
      </c>
      <c r="G39" s="195"/>
      <c r="H39" s="195"/>
      <c r="I39" s="196"/>
      <c r="J39" s="195"/>
      <c r="K39" s="196"/>
      <c r="L39" s="196"/>
      <c r="M39" s="195"/>
      <c r="N39" s="242">
        <v>9</v>
      </c>
      <c r="O39" s="198">
        <f>VLOOKUP($B39,ma!$A:$C,3,0)</f>
        <v>180000</v>
      </c>
      <c r="P39" s="198">
        <f t="shared" si="0"/>
        <v>1620000</v>
      </c>
      <c r="Q39" s="198">
        <f t="shared" si="1"/>
        <v>450000</v>
      </c>
      <c r="R39" s="177"/>
      <c r="S39" s="177"/>
      <c r="T39" s="177"/>
      <c r="U39" s="177"/>
      <c r="V39" s="177"/>
      <c r="W39" s="22"/>
      <c r="X39" s="22"/>
      <c r="Y39" s="22"/>
      <c r="Z39" s="22"/>
      <c r="AA39" s="22"/>
      <c r="AB39" s="22"/>
      <c r="AC39" s="22"/>
    </row>
    <row r="40" spans="1:29" ht="16">
      <c r="A40" s="190">
        <f t="shared" si="2"/>
        <v>35</v>
      </c>
      <c r="B40" s="240" t="s">
        <v>2125</v>
      </c>
      <c r="C40" s="241" t="s">
        <v>52</v>
      </c>
      <c r="D40" s="192">
        <v>46183</v>
      </c>
      <c r="E40" s="199" t="str">
        <f>VLOOKUP($C40,xe!$A:$B,2,0)</f>
        <v>50H-69717</v>
      </c>
      <c r="F40" s="194" t="str">
        <f>VLOOKUP($B40,ma!$A:$B,2,0)</f>
        <v>Chuyển hàng Calofic</v>
      </c>
      <c r="G40" s="195"/>
      <c r="H40" s="195"/>
      <c r="I40" s="196"/>
      <c r="J40" s="195"/>
      <c r="K40" s="196"/>
      <c r="L40" s="196"/>
      <c r="M40" s="195"/>
      <c r="N40" s="242">
        <v>3</v>
      </c>
      <c r="O40" s="198">
        <f>VLOOKUP($B40,ma!$A:$C,3,0)</f>
        <v>180000</v>
      </c>
      <c r="P40" s="198">
        <f t="shared" si="0"/>
        <v>540000</v>
      </c>
      <c r="Q40" s="198">
        <f t="shared" si="1"/>
        <v>150000</v>
      </c>
      <c r="R40" s="177"/>
      <c r="S40" s="177"/>
      <c r="T40" s="177"/>
      <c r="U40" s="177"/>
      <c r="V40" s="177"/>
      <c r="W40" s="22"/>
      <c r="X40" s="22"/>
      <c r="Y40" s="22"/>
      <c r="Z40" s="22"/>
      <c r="AA40" s="22"/>
      <c r="AB40" s="22"/>
      <c r="AC40" s="22"/>
    </row>
    <row r="41" spans="1:29" ht="16">
      <c r="A41" s="200">
        <f t="shared" si="2"/>
        <v>36</v>
      </c>
      <c r="B41" s="243" t="s">
        <v>97</v>
      </c>
      <c r="C41" s="244" t="s">
        <v>46</v>
      </c>
      <c r="D41" s="202">
        <v>46184</v>
      </c>
      <c r="E41" s="203" t="str">
        <f>VLOOKUP($C41,xe!$A:$B,2,0)</f>
        <v>50E-758,73</v>
      </c>
      <c r="F41" s="204" t="str">
        <f>VLOOKUP($B41,ma!$A:$B,2,0)</f>
        <v>Chuyển hàng MCC</v>
      </c>
      <c r="G41" s="205"/>
      <c r="H41" s="205"/>
      <c r="I41" s="206">
        <v>20000</v>
      </c>
      <c r="J41" s="205" t="s">
        <v>2124</v>
      </c>
      <c r="K41" s="206"/>
      <c r="L41" s="206"/>
      <c r="M41" s="205"/>
      <c r="N41" s="245">
        <v>5</v>
      </c>
      <c r="O41" s="208">
        <f>VLOOKUP($B41,ma!$A:$C,3,0)</f>
        <v>414000</v>
      </c>
      <c r="P41" s="208">
        <f t="shared" si="0"/>
        <v>2070000</v>
      </c>
      <c r="Q41" s="208">
        <f t="shared" si="1"/>
        <v>250000</v>
      </c>
      <c r="R41" s="209"/>
      <c r="S41" s="209"/>
      <c r="T41" s="209"/>
      <c r="U41" s="209"/>
      <c r="V41" s="209"/>
      <c r="W41" s="210"/>
      <c r="X41" s="210"/>
      <c r="Y41" s="210"/>
      <c r="Z41" s="210"/>
      <c r="AA41" s="210"/>
      <c r="AB41" s="210"/>
      <c r="AC41" s="210"/>
    </row>
    <row r="42" spans="1:29" ht="16">
      <c r="A42" s="190">
        <f t="shared" si="2"/>
        <v>37</v>
      </c>
      <c r="B42" s="240" t="s">
        <v>465</v>
      </c>
      <c r="C42" s="241" t="s">
        <v>48</v>
      </c>
      <c r="D42" s="192">
        <v>46184</v>
      </c>
      <c r="E42" s="199" t="str">
        <f>VLOOKUP($C42,xe!$A:$B,2,0)</f>
        <v>50H-55294</v>
      </c>
      <c r="F42" s="194" t="str">
        <f>VLOOKUP($B42,ma!$A:$B,2,0)</f>
        <v>Chuyển Hàng ndfc</v>
      </c>
      <c r="G42" s="195"/>
      <c r="H42" s="195"/>
      <c r="I42" s="196"/>
      <c r="J42" s="195"/>
      <c r="K42" s="196"/>
      <c r="L42" s="196"/>
      <c r="M42" s="195"/>
      <c r="N42" s="242">
        <v>5</v>
      </c>
      <c r="O42" s="198">
        <f>VLOOKUP($B42,ma!$A:$C,3,0)</f>
        <v>410000</v>
      </c>
      <c r="P42" s="198">
        <f t="shared" si="0"/>
        <v>2050000</v>
      </c>
      <c r="Q42" s="198">
        <f t="shared" si="1"/>
        <v>250000</v>
      </c>
      <c r="R42" s="209"/>
      <c r="S42" s="209"/>
      <c r="T42" s="209"/>
      <c r="U42" s="209"/>
      <c r="V42" s="209"/>
      <c r="W42" s="210"/>
      <c r="X42" s="210"/>
      <c r="Y42" s="210"/>
      <c r="Z42" s="210"/>
      <c r="AA42" s="210"/>
      <c r="AB42" s="210"/>
      <c r="AC42" s="210"/>
    </row>
    <row r="43" spans="1:29" ht="16">
      <c r="A43" s="190">
        <f t="shared" si="2"/>
        <v>38</v>
      </c>
      <c r="B43" s="240" t="s">
        <v>2125</v>
      </c>
      <c r="C43" s="241" t="s">
        <v>50</v>
      </c>
      <c r="D43" s="192">
        <v>46184</v>
      </c>
      <c r="E43" s="199" t="str">
        <f>VLOOKUP($C43,xe!$A:$B,2,0)</f>
        <v>50H-55129</v>
      </c>
      <c r="F43" s="194" t="str">
        <f>VLOOKUP($B43,ma!$A:$B,2,0)</f>
        <v>Chuyển hàng Calofic</v>
      </c>
      <c r="G43" s="195"/>
      <c r="H43" s="195"/>
      <c r="I43" s="196"/>
      <c r="J43" s="195"/>
      <c r="K43" s="196"/>
      <c r="L43" s="196"/>
      <c r="M43" s="195"/>
      <c r="N43" s="242">
        <v>8</v>
      </c>
      <c r="O43" s="198">
        <f>VLOOKUP($B43,ma!$A:$C,3,0)</f>
        <v>180000</v>
      </c>
      <c r="P43" s="198">
        <f t="shared" si="0"/>
        <v>1440000</v>
      </c>
      <c r="Q43" s="198">
        <f t="shared" si="1"/>
        <v>400000</v>
      </c>
      <c r="R43" s="177"/>
      <c r="S43" s="177"/>
      <c r="T43" s="177"/>
      <c r="U43" s="177"/>
      <c r="V43" s="177"/>
      <c r="W43" s="22"/>
      <c r="X43" s="22"/>
      <c r="Y43" s="22"/>
      <c r="Z43" s="22"/>
      <c r="AA43" s="22"/>
      <c r="AB43" s="22"/>
      <c r="AC43" s="22"/>
    </row>
    <row r="44" spans="1:29" ht="16">
      <c r="A44" s="190">
        <f t="shared" si="2"/>
        <v>39</v>
      </c>
      <c r="B44" s="240" t="s">
        <v>2125</v>
      </c>
      <c r="C44" s="241" t="s">
        <v>52</v>
      </c>
      <c r="D44" s="192">
        <v>46184</v>
      </c>
      <c r="E44" s="199" t="str">
        <f>VLOOKUP($C44,xe!$A:$B,2,0)</f>
        <v>50H-69717</v>
      </c>
      <c r="F44" s="194" t="str">
        <f>VLOOKUP($B44,ma!$A:$B,2,0)</f>
        <v>Chuyển hàng Calofic</v>
      </c>
      <c r="G44" s="195"/>
      <c r="H44" s="195"/>
      <c r="I44" s="196"/>
      <c r="J44" s="195"/>
      <c r="K44" s="196"/>
      <c r="L44" s="196"/>
      <c r="M44" s="195"/>
      <c r="N44" s="242">
        <v>9</v>
      </c>
      <c r="O44" s="198">
        <f>VLOOKUP($B44,ma!$A:$C,3,0)</f>
        <v>180000</v>
      </c>
      <c r="P44" s="198">
        <f t="shared" si="0"/>
        <v>1620000</v>
      </c>
      <c r="Q44" s="198">
        <f t="shared" si="1"/>
        <v>450000</v>
      </c>
      <c r="R44" s="177"/>
      <c r="S44" s="177"/>
      <c r="T44" s="177"/>
      <c r="U44" s="177"/>
      <c r="V44" s="177"/>
      <c r="W44" s="22"/>
      <c r="X44" s="22"/>
      <c r="Y44" s="22"/>
      <c r="Z44" s="22"/>
      <c r="AA44" s="22"/>
      <c r="AB44" s="22"/>
      <c r="AC44" s="22"/>
    </row>
    <row r="45" spans="1:29" ht="16">
      <c r="A45" s="200">
        <f t="shared" si="2"/>
        <v>40</v>
      </c>
      <c r="B45" s="243" t="s">
        <v>97</v>
      </c>
      <c r="C45" s="244" t="s">
        <v>46</v>
      </c>
      <c r="D45" s="202">
        <v>46185</v>
      </c>
      <c r="E45" s="203" t="str">
        <f>VLOOKUP($C45,xe!$A:$B,2,0)</f>
        <v>50E-758,73</v>
      </c>
      <c r="F45" s="204" t="str">
        <f>VLOOKUP($B45,ma!$A:$B,2,0)</f>
        <v>Chuyển hàng MCC</v>
      </c>
      <c r="G45" s="205"/>
      <c r="H45" s="205"/>
      <c r="I45" s="206">
        <v>20000</v>
      </c>
      <c r="J45" s="205" t="s">
        <v>2124</v>
      </c>
      <c r="K45" s="206"/>
      <c r="L45" s="206"/>
      <c r="M45" s="205"/>
      <c r="N45" s="245">
        <v>4</v>
      </c>
      <c r="O45" s="208">
        <f>VLOOKUP($B45,ma!$A:$C,3,0)</f>
        <v>414000</v>
      </c>
      <c r="P45" s="208">
        <f t="shared" si="0"/>
        <v>1656000</v>
      </c>
      <c r="Q45" s="208">
        <f t="shared" si="1"/>
        <v>200000</v>
      </c>
      <c r="R45" s="209"/>
      <c r="S45" s="209"/>
      <c r="T45" s="209"/>
      <c r="U45" s="209"/>
      <c r="V45" s="209"/>
      <c r="W45" s="210"/>
      <c r="X45" s="210"/>
      <c r="Y45" s="210"/>
      <c r="Z45" s="210"/>
      <c r="AA45" s="210"/>
      <c r="AB45" s="210"/>
      <c r="AC45" s="210"/>
    </row>
    <row r="46" spans="1:29" ht="16">
      <c r="A46" s="190">
        <f t="shared" si="2"/>
        <v>41</v>
      </c>
      <c r="B46" s="240" t="s">
        <v>465</v>
      </c>
      <c r="C46" s="241" t="s">
        <v>48</v>
      </c>
      <c r="D46" s="192">
        <v>46185</v>
      </c>
      <c r="E46" s="199" t="str">
        <f>VLOOKUP($C46,xe!$A:$B,2,0)</f>
        <v>50H-55294</v>
      </c>
      <c r="F46" s="194" t="str">
        <f>VLOOKUP($B46,ma!$A:$B,2,0)</f>
        <v>Chuyển Hàng ndfc</v>
      </c>
      <c r="G46" s="195"/>
      <c r="H46" s="195"/>
      <c r="I46" s="196"/>
      <c r="J46" s="195"/>
      <c r="K46" s="196"/>
      <c r="L46" s="196"/>
      <c r="M46" s="195"/>
      <c r="N46" s="242">
        <v>4</v>
      </c>
      <c r="O46" s="198">
        <f>VLOOKUP($B46,ma!$A:$C,3,0)</f>
        <v>410000</v>
      </c>
      <c r="P46" s="198">
        <f t="shared" si="0"/>
        <v>1640000</v>
      </c>
      <c r="Q46" s="198">
        <f t="shared" si="1"/>
        <v>200000</v>
      </c>
      <c r="R46" s="209"/>
      <c r="S46" s="209"/>
      <c r="T46" s="209"/>
      <c r="U46" s="209"/>
      <c r="V46" s="209"/>
      <c r="W46" s="210"/>
      <c r="X46" s="210"/>
      <c r="Y46" s="210"/>
      <c r="Z46" s="210"/>
      <c r="AA46" s="210"/>
      <c r="AB46" s="210"/>
      <c r="AC46" s="210"/>
    </row>
    <row r="47" spans="1:29" ht="16">
      <c r="A47" s="190">
        <f t="shared" si="2"/>
        <v>42</v>
      </c>
      <c r="B47" s="240" t="s">
        <v>2125</v>
      </c>
      <c r="C47" s="241" t="s">
        <v>50</v>
      </c>
      <c r="D47" s="192">
        <v>46185</v>
      </c>
      <c r="E47" s="199" t="str">
        <f>VLOOKUP($C47,xe!$A:$B,2,0)</f>
        <v>50H-55129</v>
      </c>
      <c r="F47" s="194" t="str">
        <f>VLOOKUP($B47,ma!$A:$B,2,0)</f>
        <v>Chuyển hàng Calofic</v>
      </c>
      <c r="G47" s="195"/>
      <c r="H47" s="195"/>
      <c r="I47" s="196"/>
      <c r="J47" s="195"/>
      <c r="K47" s="196"/>
      <c r="L47" s="196"/>
      <c r="M47" s="195"/>
      <c r="N47" s="242">
        <v>9</v>
      </c>
      <c r="O47" s="198">
        <f>VLOOKUP($B47,ma!$A:$C,3,0)</f>
        <v>180000</v>
      </c>
      <c r="P47" s="198">
        <f t="shared" si="0"/>
        <v>1620000</v>
      </c>
      <c r="Q47" s="198">
        <f t="shared" si="1"/>
        <v>450000</v>
      </c>
      <c r="R47" s="177"/>
      <c r="S47" s="177"/>
      <c r="T47" s="177"/>
      <c r="U47" s="177"/>
      <c r="V47" s="177"/>
      <c r="W47" s="22"/>
      <c r="X47" s="22"/>
      <c r="Y47" s="22"/>
      <c r="Z47" s="22"/>
      <c r="AA47" s="22"/>
      <c r="AB47" s="22"/>
      <c r="AC47" s="22"/>
    </row>
    <row r="48" spans="1:29" ht="16">
      <c r="A48" s="190">
        <f t="shared" si="2"/>
        <v>43</v>
      </c>
      <c r="B48" s="240" t="s">
        <v>2125</v>
      </c>
      <c r="C48" s="241" t="s">
        <v>52</v>
      </c>
      <c r="D48" s="192">
        <v>46185</v>
      </c>
      <c r="E48" s="199" t="str">
        <f>VLOOKUP($C48,xe!$A:$B,2,0)</f>
        <v>50H-69717</v>
      </c>
      <c r="F48" s="194" t="str">
        <f>VLOOKUP($B48,ma!$A:$B,2,0)</f>
        <v>Chuyển hàng Calofic</v>
      </c>
      <c r="G48" s="195"/>
      <c r="H48" s="195"/>
      <c r="I48" s="196"/>
      <c r="J48" s="195"/>
      <c r="K48" s="196"/>
      <c r="L48" s="196"/>
      <c r="M48" s="195"/>
      <c r="N48" s="242">
        <v>10</v>
      </c>
      <c r="O48" s="198">
        <f>VLOOKUP($B48,ma!$A:$C,3,0)</f>
        <v>180000</v>
      </c>
      <c r="P48" s="198">
        <f t="shared" si="0"/>
        <v>1800000</v>
      </c>
      <c r="Q48" s="198">
        <f t="shared" si="1"/>
        <v>500000</v>
      </c>
      <c r="R48" s="177"/>
      <c r="S48" s="177"/>
      <c r="T48" s="177"/>
      <c r="U48" s="177"/>
      <c r="V48" s="177"/>
      <c r="W48" s="22"/>
      <c r="X48" s="22"/>
      <c r="Y48" s="22"/>
      <c r="Z48" s="22"/>
      <c r="AA48" s="22"/>
      <c r="AB48" s="22"/>
      <c r="AC48" s="22"/>
    </row>
    <row r="49" spans="1:29" ht="16">
      <c r="A49" s="200">
        <f t="shared" si="2"/>
        <v>44</v>
      </c>
      <c r="B49" s="243" t="s">
        <v>97</v>
      </c>
      <c r="C49" s="244" t="s">
        <v>46</v>
      </c>
      <c r="D49" s="202">
        <v>46186</v>
      </c>
      <c r="E49" s="203" t="str">
        <f>VLOOKUP($C49,xe!$A:$B,2,0)</f>
        <v>50E-758,73</v>
      </c>
      <c r="F49" s="204" t="str">
        <f>VLOOKUP($B49,ma!$A:$B,2,0)</f>
        <v>Chuyển hàng MCC</v>
      </c>
      <c r="G49" s="205"/>
      <c r="H49" s="205"/>
      <c r="I49" s="206"/>
      <c r="J49" s="205"/>
      <c r="K49" s="206"/>
      <c r="L49" s="206"/>
      <c r="M49" s="205"/>
      <c r="N49" s="245">
        <v>3</v>
      </c>
      <c r="O49" s="208">
        <f>VLOOKUP($B49,ma!$A:$C,3,0)</f>
        <v>414000</v>
      </c>
      <c r="P49" s="208">
        <f t="shared" si="0"/>
        <v>1242000</v>
      </c>
      <c r="Q49" s="208">
        <f t="shared" si="1"/>
        <v>150000</v>
      </c>
      <c r="R49" s="209"/>
      <c r="S49" s="209"/>
      <c r="T49" s="209"/>
      <c r="U49" s="209"/>
      <c r="V49" s="209"/>
      <c r="W49" s="210"/>
      <c r="X49" s="210"/>
      <c r="Y49" s="210"/>
      <c r="Z49" s="210"/>
      <c r="AA49" s="210"/>
      <c r="AB49" s="210"/>
      <c r="AC49" s="210"/>
    </row>
    <row r="50" spans="1:29" ht="16">
      <c r="A50" s="190">
        <f t="shared" si="2"/>
        <v>45</v>
      </c>
      <c r="B50" s="240" t="s">
        <v>465</v>
      </c>
      <c r="C50" s="241" t="s">
        <v>48</v>
      </c>
      <c r="D50" s="192">
        <v>46186</v>
      </c>
      <c r="E50" s="199" t="str">
        <f>VLOOKUP($C50,xe!$A:$B,2,0)</f>
        <v>50H-55294</v>
      </c>
      <c r="F50" s="194" t="str">
        <f>VLOOKUP($B50,ma!$A:$B,2,0)</f>
        <v>Chuyển Hàng ndfc</v>
      </c>
      <c r="G50" s="195"/>
      <c r="H50" s="195"/>
      <c r="I50" s="196"/>
      <c r="J50" s="195"/>
      <c r="K50" s="196"/>
      <c r="L50" s="196"/>
      <c r="M50" s="195"/>
      <c r="N50" s="242">
        <v>4</v>
      </c>
      <c r="O50" s="198">
        <f>VLOOKUP($B50,ma!$A:$C,3,0)</f>
        <v>410000</v>
      </c>
      <c r="P50" s="198">
        <f t="shared" si="0"/>
        <v>1640000</v>
      </c>
      <c r="Q50" s="198">
        <f t="shared" si="1"/>
        <v>200000</v>
      </c>
      <c r="R50" s="209"/>
      <c r="S50" s="209"/>
      <c r="T50" s="209"/>
      <c r="U50" s="209"/>
      <c r="V50" s="209"/>
      <c r="W50" s="210"/>
      <c r="X50" s="210"/>
      <c r="Y50" s="210"/>
      <c r="Z50" s="210"/>
      <c r="AA50" s="210"/>
      <c r="AB50" s="210"/>
      <c r="AC50" s="210"/>
    </row>
    <row r="51" spans="1:29" ht="16">
      <c r="A51" s="190">
        <f t="shared" si="2"/>
        <v>46</v>
      </c>
      <c r="B51" s="240" t="s">
        <v>2125</v>
      </c>
      <c r="C51" s="241" t="s">
        <v>50</v>
      </c>
      <c r="D51" s="192">
        <v>46186</v>
      </c>
      <c r="E51" s="199" t="str">
        <f>VLOOKUP($C51,xe!$A:$B,2,0)</f>
        <v>50H-55129</v>
      </c>
      <c r="F51" s="194" t="str">
        <f>VLOOKUP($B51,ma!$A:$B,2,0)</f>
        <v>Chuyển hàng Calofic</v>
      </c>
      <c r="G51" s="195"/>
      <c r="H51" s="195"/>
      <c r="I51" s="196"/>
      <c r="J51" s="195"/>
      <c r="K51" s="196"/>
      <c r="L51" s="196"/>
      <c r="M51" s="195"/>
      <c r="N51" s="242">
        <v>7</v>
      </c>
      <c r="O51" s="198">
        <f>VLOOKUP($B51,ma!$A:$C,3,0)</f>
        <v>180000</v>
      </c>
      <c r="P51" s="198">
        <f t="shared" si="0"/>
        <v>1260000</v>
      </c>
      <c r="Q51" s="198">
        <f t="shared" si="1"/>
        <v>350000</v>
      </c>
      <c r="R51" s="177"/>
      <c r="S51" s="177"/>
      <c r="T51" s="177"/>
      <c r="U51" s="177"/>
      <c r="V51" s="177"/>
      <c r="W51" s="22"/>
      <c r="X51" s="22"/>
      <c r="Y51" s="22"/>
      <c r="Z51" s="22"/>
      <c r="AA51" s="22"/>
      <c r="AB51" s="22"/>
      <c r="AC51" s="22"/>
    </row>
    <row r="52" spans="1:29" ht="16">
      <c r="A52" s="190">
        <f t="shared" si="2"/>
        <v>47</v>
      </c>
      <c r="B52" s="240" t="s">
        <v>2125</v>
      </c>
      <c r="C52" s="241" t="s">
        <v>52</v>
      </c>
      <c r="D52" s="192">
        <v>46186</v>
      </c>
      <c r="E52" s="199" t="str">
        <f>VLOOKUP($C52,xe!$A:$B,2,0)</f>
        <v>50H-69717</v>
      </c>
      <c r="F52" s="194" t="str">
        <f>VLOOKUP($B52,ma!$A:$B,2,0)</f>
        <v>Chuyển hàng Calofic</v>
      </c>
      <c r="G52" s="195"/>
      <c r="H52" s="195"/>
      <c r="I52" s="196"/>
      <c r="J52" s="195"/>
      <c r="K52" s="196"/>
      <c r="L52" s="196"/>
      <c r="M52" s="195"/>
      <c r="N52" s="242">
        <v>5</v>
      </c>
      <c r="O52" s="198">
        <f>VLOOKUP($B52,ma!$A:$C,3,0)</f>
        <v>180000</v>
      </c>
      <c r="P52" s="198">
        <f t="shared" si="0"/>
        <v>900000</v>
      </c>
      <c r="Q52" s="198">
        <f t="shared" si="1"/>
        <v>250000</v>
      </c>
      <c r="R52" s="177"/>
      <c r="S52" s="177"/>
      <c r="T52" s="177"/>
      <c r="U52" s="177"/>
      <c r="V52" s="177"/>
      <c r="W52" s="22"/>
      <c r="X52" s="22"/>
      <c r="Y52" s="22"/>
      <c r="Z52" s="22"/>
      <c r="AA52" s="22"/>
      <c r="AB52" s="22"/>
      <c r="AC52" s="22"/>
    </row>
    <row r="53" spans="1:29" ht="16">
      <c r="A53" s="200">
        <f t="shared" si="2"/>
        <v>48</v>
      </c>
      <c r="B53" s="243" t="s">
        <v>97</v>
      </c>
      <c r="C53" s="244" t="s">
        <v>46</v>
      </c>
      <c r="D53" s="202">
        <v>46188</v>
      </c>
      <c r="E53" s="203" t="str">
        <f>VLOOKUP($C53,xe!$A:$B,2,0)</f>
        <v>50E-758,73</v>
      </c>
      <c r="F53" s="204" t="str">
        <f>VLOOKUP($B53,ma!$A:$B,2,0)</f>
        <v>Chuyển hàng MCC</v>
      </c>
      <c r="G53" s="205"/>
      <c r="H53" s="205"/>
      <c r="I53" s="206">
        <v>20000</v>
      </c>
      <c r="J53" s="205" t="s">
        <v>2124</v>
      </c>
      <c r="K53" s="206"/>
      <c r="L53" s="206"/>
      <c r="M53" s="205"/>
      <c r="N53" s="245">
        <v>4</v>
      </c>
      <c r="O53" s="208">
        <f>VLOOKUP($B53,ma!$A:$C,3,0)</f>
        <v>414000</v>
      </c>
      <c r="P53" s="208">
        <f t="shared" si="0"/>
        <v>1656000</v>
      </c>
      <c r="Q53" s="208">
        <f t="shared" si="1"/>
        <v>200000</v>
      </c>
      <c r="R53" s="209"/>
      <c r="S53" s="209"/>
      <c r="T53" s="209"/>
      <c r="U53" s="209"/>
      <c r="V53" s="209"/>
      <c r="W53" s="210"/>
      <c r="X53" s="210"/>
      <c r="Y53" s="210"/>
      <c r="Z53" s="210"/>
      <c r="AA53" s="210"/>
      <c r="AB53" s="210"/>
      <c r="AC53" s="210"/>
    </row>
    <row r="54" spans="1:29" ht="16">
      <c r="A54" s="190">
        <f t="shared" si="2"/>
        <v>49</v>
      </c>
      <c r="B54" s="240" t="s">
        <v>465</v>
      </c>
      <c r="C54" s="241" t="s">
        <v>48</v>
      </c>
      <c r="D54" s="192">
        <v>46188</v>
      </c>
      <c r="E54" s="199" t="str">
        <f>VLOOKUP($C54,xe!$A:$B,2,0)</f>
        <v>50H-55294</v>
      </c>
      <c r="F54" s="194" t="str">
        <f>VLOOKUP($B54,ma!$A:$B,2,0)</f>
        <v>Chuyển Hàng ndfc</v>
      </c>
      <c r="G54" s="195"/>
      <c r="H54" s="195"/>
      <c r="I54" s="196"/>
      <c r="J54" s="195"/>
      <c r="K54" s="196"/>
      <c r="L54" s="196"/>
      <c r="M54" s="195"/>
      <c r="N54" s="242">
        <v>4</v>
      </c>
      <c r="O54" s="198">
        <f>VLOOKUP($B54,ma!$A:$C,3,0)</f>
        <v>410000</v>
      </c>
      <c r="P54" s="198">
        <f t="shared" si="0"/>
        <v>1640000</v>
      </c>
      <c r="Q54" s="198">
        <f t="shared" si="1"/>
        <v>200000</v>
      </c>
      <c r="R54" s="209"/>
      <c r="S54" s="209"/>
      <c r="T54" s="209"/>
      <c r="U54" s="209"/>
      <c r="V54" s="209"/>
      <c r="W54" s="210"/>
      <c r="X54" s="210"/>
      <c r="Y54" s="210"/>
      <c r="Z54" s="210"/>
      <c r="AA54" s="210"/>
      <c r="AB54" s="210"/>
      <c r="AC54" s="210"/>
    </row>
    <row r="55" spans="1:29" ht="16">
      <c r="A55" s="190">
        <f t="shared" si="2"/>
        <v>50</v>
      </c>
      <c r="B55" s="240" t="s">
        <v>2125</v>
      </c>
      <c r="C55" s="241" t="s">
        <v>50</v>
      </c>
      <c r="D55" s="192">
        <v>46188</v>
      </c>
      <c r="E55" s="199" t="str">
        <f>VLOOKUP($C55,xe!$A:$B,2,0)</f>
        <v>50H-55129</v>
      </c>
      <c r="F55" s="194" t="str">
        <f>VLOOKUP($B55,ma!$A:$B,2,0)</f>
        <v>Chuyển hàng Calofic</v>
      </c>
      <c r="G55" s="195"/>
      <c r="H55" s="195"/>
      <c r="I55" s="196"/>
      <c r="J55" s="195"/>
      <c r="K55" s="196"/>
      <c r="L55" s="196"/>
      <c r="M55" s="195"/>
      <c r="N55" s="242">
        <v>8</v>
      </c>
      <c r="O55" s="198">
        <f>VLOOKUP($B55,ma!$A:$C,3,0)</f>
        <v>180000</v>
      </c>
      <c r="P55" s="198">
        <f t="shared" si="0"/>
        <v>1440000</v>
      </c>
      <c r="Q55" s="198">
        <f t="shared" si="1"/>
        <v>400000</v>
      </c>
      <c r="R55" s="177"/>
      <c r="S55" s="177"/>
      <c r="T55" s="177"/>
      <c r="U55" s="177"/>
      <c r="V55" s="177"/>
      <c r="W55" s="22"/>
      <c r="X55" s="22"/>
      <c r="Y55" s="22"/>
      <c r="Z55" s="22"/>
      <c r="AA55" s="22"/>
      <c r="AB55" s="22"/>
      <c r="AC55" s="22"/>
    </row>
    <row r="56" spans="1:29" ht="16">
      <c r="A56" s="190">
        <f t="shared" si="2"/>
        <v>51</v>
      </c>
      <c r="B56" s="240" t="s">
        <v>2125</v>
      </c>
      <c r="C56" s="241" t="s">
        <v>52</v>
      </c>
      <c r="D56" s="192">
        <v>46188</v>
      </c>
      <c r="E56" s="199" t="str">
        <f>VLOOKUP($C56,xe!$A:$B,2,0)</f>
        <v>50H-69717</v>
      </c>
      <c r="F56" s="194" t="str">
        <f>VLOOKUP($B56,ma!$A:$B,2,0)</f>
        <v>Chuyển hàng Calofic</v>
      </c>
      <c r="G56" s="195"/>
      <c r="H56" s="195"/>
      <c r="I56" s="196"/>
      <c r="J56" s="195"/>
      <c r="K56" s="196"/>
      <c r="L56" s="196"/>
      <c r="M56" s="195"/>
      <c r="N56" s="242">
        <v>7</v>
      </c>
      <c r="O56" s="198">
        <f>VLOOKUP($B56,ma!$A:$C,3,0)</f>
        <v>180000</v>
      </c>
      <c r="P56" s="198">
        <f t="shared" si="0"/>
        <v>1260000</v>
      </c>
      <c r="Q56" s="198">
        <f t="shared" si="1"/>
        <v>350000</v>
      </c>
      <c r="R56" s="177"/>
      <c r="S56" s="177"/>
      <c r="T56" s="177"/>
      <c r="U56" s="177"/>
      <c r="V56" s="177"/>
      <c r="W56" s="22"/>
      <c r="X56" s="22"/>
      <c r="Y56" s="22"/>
      <c r="Z56" s="22"/>
      <c r="AA56" s="22"/>
      <c r="AB56" s="22"/>
      <c r="AC56" s="22"/>
    </row>
    <row r="57" spans="1:29" ht="16">
      <c r="A57" s="200">
        <f t="shared" si="2"/>
        <v>52</v>
      </c>
      <c r="B57" s="243" t="s">
        <v>97</v>
      </c>
      <c r="C57" s="244" t="s">
        <v>46</v>
      </c>
      <c r="D57" s="202">
        <v>46189</v>
      </c>
      <c r="E57" s="203" t="str">
        <f>VLOOKUP($C57,xe!$A:$B,2,0)</f>
        <v>50E-758,73</v>
      </c>
      <c r="F57" s="204" t="str">
        <f>VLOOKUP($B57,ma!$A:$B,2,0)</f>
        <v>Chuyển hàng MCC</v>
      </c>
      <c r="G57" s="205"/>
      <c r="H57" s="205"/>
      <c r="I57" s="206">
        <v>20000</v>
      </c>
      <c r="J57" s="205" t="s">
        <v>2124</v>
      </c>
      <c r="K57" s="206"/>
      <c r="L57" s="206"/>
      <c r="M57" s="205"/>
      <c r="N57" s="245">
        <v>4</v>
      </c>
      <c r="O57" s="208">
        <f>VLOOKUP($B57,ma!$A:$C,3,0)</f>
        <v>414000</v>
      </c>
      <c r="P57" s="208">
        <f t="shared" si="0"/>
        <v>1656000</v>
      </c>
      <c r="Q57" s="208">
        <f t="shared" si="1"/>
        <v>200000</v>
      </c>
      <c r="R57" s="209"/>
      <c r="S57" s="209"/>
      <c r="T57" s="209"/>
      <c r="U57" s="209"/>
      <c r="V57" s="209"/>
      <c r="W57" s="210"/>
      <c r="X57" s="210"/>
      <c r="Y57" s="210"/>
      <c r="Z57" s="210"/>
      <c r="AA57" s="210"/>
      <c r="AB57" s="210"/>
      <c r="AC57" s="210"/>
    </row>
    <row r="58" spans="1:29" ht="16">
      <c r="A58" s="190">
        <f t="shared" si="2"/>
        <v>53</v>
      </c>
      <c r="B58" s="240" t="s">
        <v>465</v>
      </c>
      <c r="C58" s="241" t="s">
        <v>48</v>
      </c>
      <c r="D58" s="192">
        <v>46189</v>
      </c>
      <c r="E58" s="199" t="str">
        <f>VLOOKUP($C58,xe!$A:$B,2,0)</f>
        <v>50H-55294</v>
      </c>
      <c r="F58" s="194" t="str">
        <f>VLOOKUP($B58,ma!$A:$B,2,0)</f>
        <v>Chuyển Hàng ndfc</v>
      </c>
      <c r="G58" s="195"/>
      <c r="H58" s="195"/>
      <c r="I58" s="196"/>
      <c r="J58" s="195"/>
      <c r="K58" s="196"/>
      <c r="L58" s="196"/>
      <c r="M58" s="195"/>
      <c r="N58" s="242">
        <v>3</v>
      </c>
      <c r="O58" s="198">
        <f>VLOOKUP($B58,ma!$A:$C,3,0)</f>
        <v>410000</v>
      </c>
      <c r="P58" s="198">
        <f t="shared" si="0"/>
        <v>1230000</v>
      </c>
      <c r="Q58" s="198">
        <f t="shared" si="1"/>
        <v>150000</v>
      </c>
      <c r="R58" s="209"/>
      <c r="S58" s="209"/>
      <c r="T58" s="209"/>
      <c r="U58" s="209"/>
      <c r="V58" s="209"/>
      <c r="W58" s="210"/>
      <c r="X58" s="210"/>
      <c r="Y58" s="210"/>
      <c r="Z58" s="210"/>
      <c r="AA58" s="210"/>
      <c r="AB58" s="210"/>
      <c r="AC58" s="210"/>
    </row>
    <row r="59" spans="1:29" ht="16">
      <c r="A59" s="190">
        <f t="shared" si="2"/>
        <v>54</v>
      </c>
      <c r="B59" s="240" t="s">
        <v>2125</v>
      </c>
      <c r="C59" s="241" t="s">
        <v>52</v>
      </c>
      <c r="D59" s="192">
        <v>46189</v>
      </c>
      <c r="E59" s="199" t="str">
        <f>VLOOKUP($C59,xe!$A:$B,2,0)</f>
        <v>50H-69717</v>
      </c>
      <c r="F59" s="194" t="str">
        <f>VLOOKUP($B59,ma!$A:$B,2,0)</f>
        <v>Chuyển hàng Calofic</v>
      </c>
      <c r="G59" s="195"/>
      <c r="H59" s="195"/>
      <c r="I59" s="196"/>
      <c r="J59" s="195"/>
      <c r="K59" s="196"/>
      <c r="L59" s="196"/>
      <c r="M59" s="195"/>
      <c r="N59" s="242">
        <v>8</v>
      </c>
      <c r="O59" s="198">
        <f>VLOOKUP($B59,ma!$A:$C,3,0)</f>
        <v>180000</v>
      </c>
      <c r="P59" s="198">
        <f t="shared" si="0"/>
        <v>1440000</v>
      </c>
      <c r="Q59" s="198">
        <f t="shared" si="1"/>
        <v>400000</v>
      </c>
      <c r="R59" s="177"/>
      <c r="S59" s="177"/>
      <c r="T59" s="177"/>
      <c r="U59" s="177"/>
      <c r="V59" s="177"/>
      <c r="W59" s="22"/>
      <c r="X59" s="22"/>
      <c r="Y59" s="22"/>
      <c r="Z59" s="22"/>
      <c r="AA59" s="22"/>
      <c r="AB59" s="22"/>
      <c r="AC59" s="22"/>
    </row>
    <row r="60" spans="1:29" ht="16">
      <c r="A60" s="200">
        <f t="shared" si="2"/>
        <v>55</v>
      </c>
      <c r="B60" s="243" t="s">
        <v>2126</v>
      </c>
      <c r="C60" s="244" t="s">
        <v>46</v>
      </c>
      <c r="D60" s="202">
        <v>46190</v>
      </c>
      <c r="E60" s="203" t="str">
        <f>VLOOKUP($C60,xe!$A:$B,2,0)</f>
        <v>50E-758,73</v>
      </c>
      <c r="F60" s="204" t="str">
        <f>VLOOKUP($B60,ma!$A:$B,2,0)</f>
        <v>MCC 6 CHUYẾN</v>
      </c>
      <c r="G60" s="205"/>
      <c r="H60" s="205"/>
      <c r="I60" s="206">
        <v>20000</v>
      </c>
      <c r="J60" s="205" t="s">
        <v>2124</v>
      </c>
      <c r="K60" s="206"/>
      <c r="L60" s="206"/>
      <c r="M60" s="205"/>
      <c r="N60" s="245">
        <v>6</v>
      </c>
      <c r="O60" s="208">
        <f>VLOOKUP($B60,ma!$A:$C,3,0)</f>
        <v>300000</v>
      </c>
      <c r="P60" s="208">
        <f t="shared" si="0"/>
        <v>1800000</v>
      </c>
      <c r="Q60" s="208">
        <f t="shared" si="1"/>
        <v>300000</v>
      </c>
      <c r="R60" s="209"/>
      <c r="S60" s="209"/>
      <c r="T60" s="209"/>
      <c r="U60" s="209"/>
      <c r="V60" s="209"/>
      <c r="W60" s="210"/>
      <c r="X60" s="210"/>
      <c r="Y60" s="210"/>
      <c r="Z60" s="210"/>
      <c r="AA60" s="210"/>
      <c r="AB60" s="210"/>
      <c r="AC60" s="210"/>
    </row>
    <row r="61" spans="1:29" ht="16">
      <c r="A61" s="190">
        <f t="shared" si="2"/>
        <v>56</v>
      </c>
      <c r="B61" s="240" t="s">
        <v>465</v>
      </c>
      <c r="C61" s="241" t="s">
        <v>48</v>
      </c>
      <c r="D61" s="192">
        <v>46190</v>
      </c>
      <c r="E61" s="199" t="str">
        <f>VLOOKUP($C61,xe!$A:$B,2,0)</f>
        <v>50H-55294</v>
      </c>
      <c r="F61" s="194" t="str">
        <f>VLOOKUP($B61,ma!$A:$B,2,0)</f>
        <v>Chuyển Hàng ndfc</v>
      </c>
      <c r="G61" s="195"/>
      <c r="H61" s="195"/>
      <c r="I61" s="196"/>
      <c r="J61" s="195"/>
      <c r="K61" s="196"/>
      <c r="L61" s="196"/>
      <c r="M61" s="195"/>
      <c r="N61" s="242">
        <v>4</v>
      </c>
      <c r="O61" s="198">
        <f>VLOOKUP($B61,ma!$A:$C,3,0)</f>
        <v>410000</v>
      </c>
      <c r="P61" s="198">
        <f t="shared" si="0"/>
        <v>1640000</v>
      </c>
      <c r="Q61" s="198">
        <f t="shared" si="1"/>
        <v>200000</v>
      </c>
      <c r="R61" s="177"/>
      <c r="S61" s="177"/>
      <c r="T61" s="177"/>
      <c r="U61" s="177"/>
      <c r="V61" s="177"/>
      <c r="W61" s="22"/>
      <c r="X61" s="22"/>
      <c r="Y61" s="22"/>
      <c r="Z61" s="22"/>
      <c r="AA61" s="22"/>
      <c r="AB61" s="22"/>
      <c r="AC61" s="22"/>
    </row>
    <row r="62" spans="1:29" ht="16">
      <c r="A62" s="190">
        <f t="shared" si="2"/>
        <v>57</v>
      </c>
      <c r="B62" s="240" t="s">
        <v>2125</v>
      </c>
      <c r="C62" s="241" t="s">
        <v>50</v>
      </c>
      <c r="D62" s="192">
        <v>46190</v>
      </c>
      <c r="E62" s="199" t="str">
        <f>VLOOKUP($C62,xe!$A:$B,2,0)</f>
        <v>50H-55129</v>
      </c>
      <c r="F62" s="194" t="str">
        <f>VLOOKUP($B62,ma!$A:$B,2,0)</f>
        <v>Chuyển hàng Calofic</v>
      </c>
      <c r="G62" s="195"/>
      <c r="H62" s="195"/>
      <c r="I62" s="196"/>
      <c r="J62" s="195"/>
      <c r="K62" s="196"/>
      <c r="L62" s="196"/>
      <c r="M62" s="195"/>
      <c r="N62" s="242">
        <v>7</v>
      </c>
      <c r="O62" s="198">
        <f>VLOOKUP($B62,ma!$A:$C,3,0)</f>
        <v>180000</v>
      </c>
      <c r="P62" s="198">
        <f t="shared" si="0"/>
        <v>1260000</v>
      </c>
      <c r="Q62" s="198">
        <f t="shared" si="1"/>
        <v>350000</v>
      </c>
      <c r="R62" s="209"/>
      <c r="S62" s="209"/>
      <c r="T62" s="209"/>
      <c r="U62" s="209"/>
      <c r="V62" s="209"/>
      <c r="W62" s="210"/>
      <c r="X62" s="210"/>
      <c r="Y62" s="210"/>
      <c r="Z62" s="210"/>
      <c r="AA62" s="210"/>
      <c r="AB62" s="210"/>
      <c r="AC62" s="210"/>
    </row>
    <row r="63" spans="1:29" ht="16">
      <c r="A63" s="190">
        <f t="shared" si="2"/>
        <v>58</v>
      </c>
      <c r="B63" s="240" t="s">
        <v>2125</v>
      </c>
      <c r="C63" s="241" t="s">
        <v>52</v>
      </c>
      <c r="D63" s="192">
        <v>46190</v>
      </c>
      <c r="E63" s="199" t="str">
        <f>VLOOKUP($C63,xe!$A:$B,2,0)</f>
        <v>50H-69717</v>
      </c>
      <c r="F63" s="194" t="str">
        <f>VLOOKUP($B63,ma!$A:$B,2,0)</f>
        <v>Chuyển hàng Calofic</v>
      </c>
      <c r="G63" s="195"/>
      <c r="H63" s="195"/>
      <c r="I63" s="196"/>
      <c r="J63" s="195"/>
      <c r="K63" s="196"/>
      <c r="L63" s="196"/>
      <c r="M63" s="195"/>
      <c r="N63" s="242">
        <v>10</v>
      </c>
      <c r="O63" s="198">
        <f>VLOOKUP($B63,ma!$A:$C,3,0)</f>
        <v>180000</v>
      </c>
      <c r="P63" s="198">
        <f t="shared" si="0"/>
        <v>1800000</v>
      </c>
      <c r="Q63" s="198">
        <f t="shared" si="1"/>
        <v>500000</v>
      </c>
      <c r="R63" s="177"/>
      <c r="S63" s="177"/>
      <c r="T63" s="177"/>
      <c r="U63" s="177"/>
      <c r="V63" s="177"/>
      <c r="W63" s="22"/>
      <c r="X63" s="22"/>
      <c r="Y63" s="22"/>
      <c r="Z63" s="22"/>
      <c r="AA63" s="22"/>
      <c r="AB63" s="22"/>
      <c r="AC63" s="22"/>
    </row>
    <row r="64" spans="1:29" ht="16">
      <c r="A64" s="200">
        <f t="shared" si="2"/>
        <v>59</v>
      </c>
      <c r="B64" s="243" t="s">
        <v>97</v>
      </c>
      <c r="C64" s="244" t="s">
        <v>46</v>
      </c>
      <c r="D64" s="202">
        <v>46191</v>
      </c>
      <c r="E64" s="203" t="str">
        <f>VLOOKUP($C64,xe!$A:$B,2,0)</f>
        <v>50E-758,73</v>
      </c>
      <c r="F64" s="204" t="str">
        <f>VLOOKUP($B64,ma!$A:$B,2,0)</f>
        <v>Chuyển hàng MCC</v>
      </c>
      <c r="G64" s="205"/>
      <c r="H64" s="205"/>
      <c r="I64" s="206">
        <v>20000</v>
      </c>
      <c r="J64" s="205" t="s">
        <v>2124</v>
      </c>
      <c r="K64" s="206"/>
      <c r="L64" s="206"/>
      <c r="M64" s="205"/>
      <c r="N64" s="245">
        <v>3</v>
      </c>
      <c r="O64" s="208">
        <f>VLOOKUP($B64,ma!$A:$C,3,0)</f>
        <v>414000</v>
      </c>
      <c r="P64" s="208">
        <f t="shared" si="0"/>
        <v>1242000</v>
      </c>
      <c r="Q64" s="208">
        <f t="shared" si="1"/>
        <v>150000</v>
      </c>
      <c r="R64" s="209"/>
      <c r="S64" s="209"/>
      <c r="T64" s="209"/>
      <c r="U64" s="209"/>
      <c r="V64" s="209"/>
      <c r="W64" s="210"/>
      <c r="X64" s="210"/>
      <c r="Y64" s="210"/>
      <c r="Z64" s="210"/>
      <c r="AA64" s="210"/>
      <c r="AB64" s="210"/>
      <c r="AC64" s="210"/>
    </row>
    <row r="65" spans="1:29" ht="16">
      <c r="A65" s="190">
        <f t="shared" si="2"/>
        <v>60</v>
      </c>
      <c r="B65" s="240" t="s">
        <v>465</v>
      </c>
      <c r="C65" s="241" t="s">
        <v>48</v>
      </c>
      <c r="D65" s="192">
        <v>46191</v>
      </c>
      <c r="E65" s="199" t="str">
        <f>VLOOKUP($C65,xe!$A:$B,2,0)</f>
        <v>50H-55294</v>
      </c>
      <c r="F65" s="194" t="str">
        <f>VLOOKUP($B65,ma!$A:$B,2,0)</f>
        <v>Chuyển Hàng ndfc</v>
      </c>
      <c r="G65" s="195"/>
      <c r="H65" s="195"/>
      <c r="I65" s="196"/>
      <c r="J65" s="195"/>
      <c r="K65" s="196"/>
      <c r="L65" s="196"/>
      <c r="M65" s="195"/>
      <c r="N65" s="242">
        <v>4</v>
      </c>
      <c r="O65" s="198">
        <f>VLOOKUP($B65,ma!$A:$C,3,0)</f>
        <v>410000</v>
      </c>
      <c r="P65" s="198">
        <f t="shared" si="0"/>
        <v>1640000</v>
      </c>
      <c r="Q65" s="198">
        <f t="shared" si="1"/>
        <v>200000</v>
      </c>
      <c r="R65" s="177"/>
      <c r="S65" s="177"/>
      <c r="T65" s="177"/>
      <c r="U65" s="177"/>
      <c r="V65" s="177"/>
      <c r="W65" s="22"/>
      <c r="X65" s="22"/>
      <c r="Y65" s="22"/>
      <c r="Z65" s="22"/>
      <c r="AA65" s="22"/>
      <c r="AB65" s="22"/>
      <c r="AC65" s="22"/>
    </row>
    <row r="66" spans="1:29" ht="16">
      <c r="A66" s="190">
        <f t="shared" si="2"/>
        <v>61</v>
      </c>
      <c r="B66" s="240" t="s">
        <v>2125</v>
      </c>
      <c r="C66" s="241" t="s">
        <v>50</v>
      </c>
      <c r="D66" s="192">
        <v>46191</v>
      </c>
      <c r="E66" s="199" t="str">
        <f>VLOOKUP($C66,xe!$A:$B,2,0)</f>
        <v>50H-55129</v>
      </c>
      <c r="F66" s="194" t="str">
        <f>VLOOKUP($B66,ma!$A:$B,2,0)</f>
        <v>Chuyển hàng Calofic</v>
      </c>
      <c r="G66" s="195"/>
      <c r="H66" s="195"/>
      <c r="I66" s="196"/>
      <c r="J66" s="195"/>
      <c r="K66" s="196"/>
      <c r="L66" s="196"/>
      <c r="M66" s="195"/>
      <c r="N66" s="242">
        <v>5</v>
      </c>
      <c r="O66" s="198">
        <f>VLOOKUP($B66,ma!$A:$C,3,0)</f>
        <v>180000</v>
      </c>
      <c r="P66" s="198">
        <f t="shared" si="0"/>
        <v>900000</v>
      </c>
      <c r="Q66" s="198">
        <f t="shared" si="1"/>
        <v>250000</v>
      </c>
      <c r="R66" s="209"/>
      <c r="S66" s="209"/>
      <c r="T66" s="209"/>
      <c r="U66" s="209"/>
      <c r="V66" s="209"/>
      <c r="W66" s="210"/>
      <c r="X66" s="210"/>
      <c r="Y66" s="210"/>
      <c r="Z66" s="210"/>
      <c r="AA66" s="210"/>
      <c r="AB66" s="210"/>
      <c r="AC66" s="210"/>
    </row>
    <row r="67" spans="1:29" ht="16">
      <c r="A67" s="190">
        <f t="shared" si="2"/>
        <v>62</v>
      </c>
      <c r="B67" s="240" t="s">
        <v>2125</v>
      </c>
      <c r="C67" s="241" t="s">
        <v>52</v>
      </c>
      <c r="D67" s="192">
        <v>46191</v>
      </c>
      <c r="E67" s="199" t="str">
        <f>VLOOKUP($C67,xe!$A:$B,2,0)</f>
        <v>50H-69717</v>
      </c>
      <c r="F67" s="194" t="str">
        <f>VLOOKUP($B67,ma!$A:$B,2,0)</f>
        <v>Chuyển hàng Calofic</v>
      </c>
      <c r="G67" s="195"/>
      <c r="H67" s="195"/>
      <c r="I67" s="196"/>
      <c r="J67" s="195"/>
      <c r="K67" s="196"/>
      <c r="L67" s="196"/>
      <c r="M67" s="195"/>
      <c r="N67" s="242">
        <v>7</v>
      </c>
      <c r="O67" s="198">
        <f>VLOOKUP($B67,ma!$A:$C,3,0)</f>
        <v>180000</v>
      </c>
      <c r="P67" s="198">
        <f t="shared" si="0"/>
        <v>1260000</v>
      </c>
      <c r="Q67" s="198">
        <f t="shared" si="1"/>
        <v>350000</v>
      </c>
      <c r="R67" s="177"/>
      <c r="S67" s="177"/>
      <c r="T67" s="177"/>
      <c r="U67" s="177"/>
      <c r="V67" s="177"/>
      <c r="W67" s="22"/>
      <c r="X67" s="22"/>
      <c r="Y67" s="22"/>
      <c r="Z67" s="22"/>
      <c r="AA67" s="22"/>
      <c r="AB67" s="22"/>
      <c r="AC67" s="22"/>
    </row>
    <row r="68" spans="1:29" ht="16">
      <c r="A68" s="200">
        <f t="shared" si="2"/>
        <v>63</v>
      </c>
      <c r="B68" s="243" t="s">
        <v>99</v>
      </c>
      <c r="C68" s="244" t="s">
        <v>46</v>
      </c>
      <c r="D68" s="202">
        <v>46192</v>
      </c>
      <c r="E68" s="203" t="str">
        <f>VLOOKUP($C68,xe!$A:$B,2,0)</f>
        <v>50E-758,73</v>
      </c>
      <c r="F68" s="204" t="str">
        <f>VLOOKUP($B68,ma!$A:$B,2,0)</f>
        <v>MCC 6 CHUYẾN</v>
      </c>
      <c r="G68" s="205"/>
      <c r="H68" s="205"/>
      <c r="I68" s="206">
        <v>20000</v>
      </c>
      <c r="J68" s="205" t="s">
        <v>2124</v>
      </c>
      <c r="K68" s="206"/>
      <c r="L68" s="206"/>
      <c r="M68" s="205"/>
      <c r="N68" s="245">
        <v>6</v>
      </c>
      <c r="O68" s="208">
        <f>VLOOKUP($B68,ma!$A:$C,3,0)</f>
        <v>300000</v>
      </c>
      <c r="P68" s="208">
        <f t="shared" si="0"/>
        <v>1800000</v>
      </c>
      <c r="Q68" s="208">
        <f t="shared" si="1"/>
        <v>300000</v>
      </c>
      <c r="R68" s="209"/>
      <c r="S68" s="209"/>
      <c r="T68" s="209"/>
      <c r="U68" s="209"/>
      <c r="V68" s="209"/>
      <c r="W68" s="210"/>
      <c r="X68" s="210"/>
      <c r="Y68" s="210"/>
      <c r="Z68" s="210"/>
      <c r="AA68" s="210"/>
      <c r="AB68" s="210"/>
      <c r="AC68" s="210"/>
    </row>
    <row r="69" spans="1:29" ht="16">
      <c r="A69" s="190">
        <f t="shared" si="2"/>
        <v>64</v>
      </c>
      <c r="B69" s="240" t="s">
        <v>465</v>
      </c>
      <c r="C69" s="241" t="s">
        <v>48</v>
      </c>
      <c r="D69" s="192">
        <v>46192</v>
      </c>
      <c r="E69" s="199" t="str">
        <f>VLOOKUP($C69,xe!$A:$B,2,0)</f>
        <v>50H-55294</v>
      </c>
      <c r="F69" s="194" t="str">
        <f>VLOOKUP($B69,ma!$A:$B,2,0)</f>
        <v>Chuyển Hàng ndfc</v>
      </c>
      <c r="G69" s="195"/>
      <c r="H69" s="195"/>
      <c r="I69" s="196"/>
      <c r="J69" s="195"/>
      <c r="K69" s="196"/>
      <c r="L69" s="196"/>
      <c r="M69" s="195"/>
      <c r="N69" s="242">
        <v>5</v>
      </c>
      <c r="O69" s="198">
        <f>VLOOKUP($B69,ma!$A:$C,3,0)</f>
        <v>410000</v>
      </c>
      <c r="P69" s="198">
        <f t="shared" si="0"/>
        <v>2050000</v>
      </c>
      <c r="Q69" s="198">
        <f t="shared" si="1"/>
        <v>250000</v>
      </c>
      <c r="R69" s="177"/>
      <c r="S69" s="177"/>
      <c r="T69" s="177"/>
      <c r="U69" s="177"/>
      <c r="V69" s="177"/>
      <c r="W69" s="22"/>
      <c r="X69" s="22"/>
      <c r="Y69" s="22"/>
      <c r="Z69" s="22"/>
      <c r="AA69" s="22"/>
      <c r="AB69" s="22"/>
      <c r="AC69" s="22"/>
    </row>
    <row r="70" spans="1:29" ht="16">
      <c r="A70" s="190">
        <f t="shared" si="2"/>
        <v>65</v>
      </c>
      <c r="B70" s="240" t="s">
        <v>2125</v>
      </c>
      <c r="C70" s="241" t="s">
        <v>50</v>
      </c>
      <c r="D70" s="192">
        <v>46192</v>
      </c>
      <c r="E70" s="199" t="str">
        <f>VLOOKUP($C70,xe!$A:$B,2,0)</f>
        <v>50H-55129</v>
      </c>
      <c r="F70" s="194" t="str">
        <f>VLOOKUP($B70,ma!$A:$B,2,0)</f>
        <v>Chuyển hàng Calofic</v>
      </c>
      <c r="G70" s="195"/>
      <c r="H70" s="195"/>
      <c r="I70" s="196"/>
      <c r="J70" s="195"/>
      <c r="K70" s="196"/>
      <c r="L70" s="196"/>
      <c r="M70" s="195"/>
      <c r="N70" s="242">
        <v>10</v>
      </c>
      <c r="O70" s="198">
        <f>VLOOKUP($B70,ma!$A:$C,3,0)</f>
        <v>180000</v>
      </c>
      <c r="P70" s="198">
        <f t="shared" si="0"/>
        <v>1800000</v>
      </c>
      <c r="Q70" s="198">
        <f t="shared" si="1"/>
        <v>500000</v>
      </c>
      <c r="R70" s="209"/>
      <c r="S70" s="209"/>
      <c r="T70" s="209"/>
      <c r="U70" s="209"/>
      <c r="V70" s="209"/>
      <c r="W70" s="210"/>
      <c r="X70" s="210"/>
      <c r="Y70" s="210"/>
      <c r="Z70" s="210"/>
      <c r="AA70" s="210"/>
      <c r="AB70" s="210"/>
      <c r="AC70" s="210"/>
    </row>
    <row r="71" spans="1:29" ht="16">
      <c r="A71" s="190">
        <f t="shared" si="2"/>
        <v>66</v>
      </c>
      <c r="B71" s="240" t="s">
        <v>2125</v>
      </c>
      <c r="C71" s="241" t="s">
        <v>52</v>
      </c>
      <c r="D71" s="192">
        <v>46192</v>
      </c>
      <c r="E71" s="199" t="str">
        <f>VLOOKUP($C71,xe!$A:$B,2,0)</f>
        <v>50H-69717</v>
      </c>
      <c r="F71" s="194" t="str">
        <f>VLOOKUP($B71,ma!$A:$B,2,0)</f>
        <v>Chuyển hàng Calofic</v>
      </c>
      <c r="G71" s="195"/>
      <c r="H71" s="195"/>
      <c r="I71" s="196"/>
      <c r="J71" s="195"/>
      <c r="K71" s="196"/>
      <c r="L71" s="196"/>
      <c r="M71" s="195"/>
      <c r="N71" s="242">
        <v>10</v>
      </c>
      <c r="O71" s="198">
        <f>VLOOKUP($B71,ma!$A:$C,3,0)</f>
        <v>180000</v>
      </c>
      <c r="P71" s="198">
        <f t="shared" si="0"/>
        <v>1800000</v>
      </c>
      <c r="Q71" s="198">
        <f t="shared" si="1"/>
        <v>500000</v>
      </c>
      <c r="R71" s="177"/>
      <c r="S71" s="177"/>
      <c r="T71" s="177"/>
      <c r="U71" s="177"/>
      <c r="V71" s="177"/>
      <c r="W71" s="22"/>
      <c r="X71" s="22"/>
      <c r="Y71" s="22"/>
      <c r="Z71" s="22"/>
      <c r="AA71" s="22"/>
      <c r="AB71" s="22"/>
      <c r="AC71" s="22"/>
    </row>
    <row r="72" spans="1:29" ht="16">
      <c r="A72" s="200">
        <f t="shared" si="2"/>
        <v>67</v>
      </c>
      <c r="B72" s="243" t="s">
        <v>97</v>
      </c>
      <c r="C72" s="244" t="s">
        <v>46</v>
      </c>
      <c r="D72" s="202">
        <v>46193</v>
      </c>
      <c r="E72" s="203" t="str">
        <f>VLOOKUP($C72,xe!$A:$B,2,0)</f>
        <v>50E-758,73</v>
      </c>
      <c r="F72" s="204" t="str">
        <f>VLOOKUP($B72,ma!$A:$B,2,0)</f>
        <v>Chuyển hàng MCC</v>
      </c>
      <c r="G72" s="205"/>
      <c r="H72" s="205"/>
      <c r="I72" s="206"/>
      <c r="J72" s="205"/>
      <c r="K72" s="206"/>
      <c r="L72" s="206"/>
      <c r="M72" s="205"/>
      <c r="N72" s="245"/>
      <c r="O72" s="208">
        <f>VLOOKUP($B72,ma!$A:$C,3,0)</f>
        <v>414000</v>
      </c>
      <c r="P72" s="208">
        <f t="shared" si="0"/>
        <v>0</v>
      </c>
      <c r="Q72" s="208">
        <f t="shared" si="1"/>
        <v>0</v>
      </c>
      <c r="R72" s="209"/>
      <c r="S72" s="209"/>
      <c r="T72" s="209"/>
      <c r="U72" s="209"/>
      <c r="V72" s="209"/>
      <c r="W72" s="210"/>
      <c r="X72" s="210"/>
      <c r="Y72" s="210"/>
      <c r="Z72" s="210"/>
      <c r="AA72" s="210"/>
      <c r="AB72" s="210"/>
      <c r="AC72" s="210"/>
    </row>
    <row r="73" spans="1:29" ht="16">
      <c r="A73" s="190">
        <f t="shared" si="2"/>
        <v>68</v>
      </c>
      <c r="B73" s="240" t="s">
        <v>465</v>
      </c>
      <c r="C73" s="241" t="s">
        <v>48</v>
      </c>
      <c r="D73" s="192">
        <v>46193</v>
      </c>
      <c r="E73" s="199" t="str">
        <f>VLOOKUP($C73,xe!$A:$B,2,0)</f>
        <v>50H-55294</v>
      </c>
      <c r="F73" s="194" t="str">
        <f>VLOOKUP($B73,ma!$A:$B,2,0)</f>
        <v>Chuyển Hàng ndfc</v>
      </c>
      <c r="G73" s="195"/>
      <c r="H73" s="195"/>
      <c r="I73" s="196"/>
      <c r="J73" s="195"/>
      <c r="K73" s="196"/>
      <c r="L73" s="196"/>
      <c r="M73" s="195"/>
      <c r="N73" s="242"/>
      <c r="O73" s="198">
        <f>VLOOKUP($B73,ma!$A:$C,3,0)</f>
        <v>410000</v>
      </c>
      <c r="P73" s="198">
        <f t="shared" si="0"/>
        <v>0</v>
      </c>
      <c r="Q73" s="198">
        <f t="shared" si="1"/>
        <v>0</v>
      </c>
      <c r="R73" s="177"/>
      <c r="S73" s="177"/>
      <c r="T73" s="177"/>
      <c r="U73" s="177"/>
      <c r="V73" s="177"/>
      <c r="W73" s="22"/>
      <c r="X73" s="22"/>
      <c r="Y73" s="22"/>
      <c r="Z73" s="22"/>
      <c r="AA73" s="22"/>
      <c r="AB73" s="22"/>
      <c r="AC73" s="22"/>
    </row>
    <row r="74" spans="1:29" ht="16">
      <c r="A74" s="190">
        <f t="shared" si="2"/>
        <v>69</v>
      </c>
      <c r="B74" s="240" t="s">
        <v>2125</v>
      </c>
      <c r="C74" s="241" t="s">
        <v>50</v>
      </c>
      <c r="D74" s="192">
        <v>46193</v>
      </c>
      <c r="E74" s="199" t="str">
        <f>VLOOKUP($C74,xe!$A:$B,2,0)</f>
        <v>50H-55129</v>
      </c>
      <c r="F74" s="194" t="str">
        <f>VLOOKUP($B74,ma!$A:$B,2,0)</f>
        <v>Chuyển hàng Calofic</v>
      </c>
      <c r="G74" s="195"/>
      <c r="H74" s="195"/>
      <c r="I74" s="196"/>
      <c r="J74" s="195"/>
      <c r="K74" s="196"/>
      <c r="L74" s="196"/>
      <c r="M74" s="195"/>
      <c r="N74" s="242"/>
      <c r="O74" s="198">
        <f>VLOOKUP($B74,ma!$A:$C,3,0)</f>
        <v>180000</v>
      </c>
      <c r="P74" s="198">
        <f t="shared" si="0"/>
        <v>0</v>
      </c>
      <c r="Q74" s="198">
        <f t="shared" si="1"/>
        <v>0</v>
      </c>
      <c r="R74" s="209"/>
      <c r="S74" s="209"/>
      <c r="T74" s="209"/>
      <c r="U74" s="209"/>
      <c r="V74" s="209"/>
      <c r="W74" s="210"/>
      <c r="X74" s="210"/>
      <c r="Y74" s="210"/>
      <c r="Z74" s="210"/>
      <c r="AA74" s="210"/>
      <c r="AB74" s="210"/>
      <c r="AC74" s="210"/>
    </row>
    <row r="75" spans="1:29" ht="16">
      <c r="A75" s="190">
        <f t="shared" si="2"/>
        <v>70</v>
      </c>
      <c r="B75" s="240" t="s">
        <v>2125</v>
      </c>
      <c r="C75" s="241" t="s">
        <v>52</v>
      </c>
      <c r="D75" s="192">
        <v>46193</v>
      </c>
      <c r="E75" s="199" t="str">
        <f>VLOOKUP($C75,xe!$A:$B,2,0)</f>
        <v>50H-69717</v>
      </c>
      <c r="F75" s="194" t="str">
        <f>VLOOKUP($B75,ma!$A:$B,2,0)</f>
        <v>Chuyển hàng Calofic</v>
      </c>
      <c r="G75" s="195"/>
      <c r="H75" s="195"/>
      <c r="I75" s="196"/>
      <c r="J75" s="195"/>
      <c r="K75" s="196"/>
      <c r="L75" s="196"/>
      <c r="M75" s="195"/>
      <c r="N75" s="242"/>
      <c r="O75" s="198">
        <f>VLOOKUP($B75,ma!$A:$C,3,0)</f>
        <v>180000</v>
      </c>
      <c r="P75" s="198">
        <f t="shared" si="0"/>
        <v>0</v>
      </c>
      <c r="Q75" s="198">
        <f t="shared" si="1"/>
        <v>0</v>
      </c>
      <c r="R75" s="177"/>
      <c r="S75" s="177"/>
      <c r="T75" s="177"/>
      <c r="U75" s="177"/>
      <c r="V75" s="177"/>
      <c r="W75" s="22"/>
      <c r="X75" s="22"/>
      <c r="Y75" s="22"/>
      <c r="Z75" s="22"/>
      <c r="AA75" s="22"/>
      <c r="AB75" s="22"/>
      <c r="AC75" s="22"/>
    </row>
    <row r="76" spans="1:29" ht="16">
      <c r="A76" s="190">
        <f t="shared" si="2"/>
        <v>71</v>
      </c>
      <c r="B76" s="191"/>
      <c r="C76" s="246"/>
      <c r="D76" s="192"/>
      <c r="E76" s="199" t="e">
        <f>VLOOKUP($C76,xe!$A:$B,2,0)</f>
        <v>#N/A</v>
      </c>
      <c r="F76" s="194" t="e">
        <f>VLOOKUP($B76,ma!$A:$B,2,0)</f>
        <v>#N/A</v>
      </c>
      <c r="G76" s="195"/>
      <c r="H76" s="195"/>
      <c r="I76" s="196"/>
      <c r="J76" s="195"/>
      <c r="K76" s="196"/>
      <c r="L76" s="196"/>
      <c r="M76" s="195"/>
      <c r="N76" s="242"/>
      <c r="O76" s="198" t="e">
        <f>VLOOKUP($B76,ma!$A:$C,3,0)</f>
        <v>#N/A</v>
      </c>
      <c r="P76" s="198" t="e">
        <f t="shared" si="0"/>
        <v>#N/A</v>
      </c>
      <c r="Q76" s="198">
        <f t="shared" si="1"/>
        <v>0</v>
      </c>
      <c r="R76" s="209"/>
      <c r="S76" s="209"/>
      <c r="T76" s="209"/>
      <c r="U76" s="209"/>
      <c r="V76" s="209"/>
      <c r="W76" s="210"/>
      <c r="X76" s="210"/>
      <c r="Y76" s="210"/>
      <c r="Z76" s="210"/>
      <c r="AA76" s="210"/>
      <c r="AB76" s="210"/>
      <c r="AC76" s="210"/>
    </row>
    <row r="77" spans="1:29" ht="16">
      <c r="A77" s="190">
        <f t="shared" si="2"/>
        <v>72</v>
      </c>
      <c r="B77" s="191"/>
      <c r="C77" s="246"/>
      <c r="D77" s="192"/>
      <c r="E77" s="199" t="e">
        <f>VLOOKUP($C77,xe!$A:$B,2,0)</f>
        <v>#N/A</v>
      </c>
      <c r="F77" s="194" t="e">
        <f>VLOOKUP($B77,ma!$A:$B,2,0)</f>
        <v>#N/A</v>
      </c>
      <c r="G77" s="195"/>
      <c r="H77" s="195"/>
      <c r="I77" s="196"/>
      <c r="J77" s="195"/>
      <c r="K77" s="196"/>
      <c r="L77" s="196"/>
      <c r="M77" s="195"/>
      <c r="N77" s="242"/>
      <c r="O77" s="198" t="e">
        <f>VLOOKUP($B77,ma!$A:$C,3,0)</f>
        <v>#N/A</v>
      </c>
      <c r="P77" s="198" t="e">
        <f t="shared" si="0"/>
        <v>#N/A</v>
      </c>
      <c r="Q77" s="198">
        <f t="shared" si="1"/>
        <v>0</v>
      </c>
      <c r="R77" s="177"/>
      <c r="S77" s="177"/>
      <c r="T77" s="177"/>
      <c r="U77" s="177"/>
      <c r="V77" s="177"/>
      <c r="W77" s="22"/>
      <c r="X77" s="22"/>
      <c r="Y77" s="22"/>
      <c r="Z77" s="22"/>
      <c r="AA77" s="22"/>
      <c r="AB77" s="22"/>
      <c r="AC77" s="22"/>
    </row>
    <row r="78" spans="1:29" ht="16">
      <c r="A78" s="190">
        <f t="shared" si="2"/>
        <v>73</v>
      </c>
      <c r="B78" s="191"/>
      <c r="C78" s="246"/>
      <c r="D78" s="192"/>
      <c r="E78" s="199" t="e">
        <f>VLOOKUP($C78,xe!$A:$B,2,0)</f>
        <v>#N/A</v>
      </c>
      <c r="F78" s="194" t="e">
        <f>VLOOKUP($B78,ma!$A:$B,2,0)</f>
        <v>#N/A</v>
      </c>
      <c r="G78" s="195"/>
      <c r="H78" s="195"/>
      <c r="I78" s="196"/>
      <c r="J78" s="195"/>
      <c r="K78" s="196"/>
      <c r="L78" s="196"/>
      <c r="M78" s="195"/>
      <c r="N78" s="242"/>
      <c r="O78" s="198" t="e">
        <f>VLOOKUP($B78,ma!$A:$C,3,0)</f>
        <v>#N/A</v>
      </c>
      <c r="P78" s="198" t="e">
        <f t="shared" si="0"/>
        <v>#N/A</v>
      </c>
      <c r="Q78" s="198">
        <f t="shared" si="1"/>
        <v>0</v>
      </c>
      <c r="R78" s="177"/>
      <c r="S78" s="177"/>
      <c r="T78" s="177"/>
      <c r="U78" s="177"/>
      <c r="V78" s="177"/>
      <c r="W78" s="22"/>
      <c r="X78" s="22"/>
      <c r="Y78" s="22"/>
      <c r="Z78" s="22"/>
      <c r="AA78" s="22"/>
      <c r="AB78" s="22"/>
      <c r="AC78" s="22"/>
    </row>
    <row r="79" spans="1:29" ht="16">
      <c r="A79" s="190">
        <f t="shared" si="2"/>
        <v>74</v>
      </c>
      <c r="B79" s="191"/>
      <c r="C79" s="246"/>
      <c r="D79" s="192"/>
      <c r="E79" s="199" t="e">
        <f>VLOOKUP($C79,xe!$A:$B,2,0)</f>
        <v>#N/A</v>
      </c>
      <c r="F79" s="194" t="e">
        <f>VLOOKUP($B79,ma!$A:$B,2,0)</f>
        <v>#N/A</v>
      </c>
      <c r="G79" s="195"/>
      <c r="H79" s="195"/>
      <c r="I79" s="196"/>
      <c r="J79" s="195"/>
      <c r="K79" s="196"/>
      <c r="L79" s="196"/>
      <c r="M79" s="195"/>
      <c r="N79" s="242"/>
      <c r="O79" s="198" t="e">
        <f>VLOOKUP($B79,ma!$A:$C,3,0)</f>
        <v>#N/A</v>
      </c>
      <c r="P79" s="198" t="e">
        <f t="shared" si="0"/>
        <v>#N/A</v>
      </c>
      <c r="Q79" s="198">
        <f t="shared" si="1"/>
        <v>0</v>
      </c>
      <c r="R79" s="177"/>
      <c r="S79" s="177"/>
      <c r="T79" s="177"/>
      <c r="U79" s="177"/>
      <c r="V79" s="177"/>
      <c r="W79" s="22"/>
      <c r="X79" s="22"/>
      <c r="Y79" s="22"/>
      <c r="Z79" s="22"/>
      <c r="AA79" s="22"/>
      <c r="AB79" s="22"/>
      <c r="AC79" s="22"/>
    </row>
    <row r="80" spans="1:29" ht="16">
      <c r="A80" s="190">
        <f t="shared" si="2"/>
        <v>75</v>
      </c>
      <c r="B80" s="191"/>
      <c r="C80" s="246"/>
      <c r="D80" s="192"/>
      <c r="E80" s="199" t="e">
        <f>VLOOKUP($C80,xe!$A:$B,2,0)</f>
        <v>#N/A</v>
      </c>
      <c r="F80" s="194" t="e">
        <f>VLOOKUP($B80,ma!$A:$B,2,0)</f>
        <v>#N/A</v>
      </c>
      <c r="G80" s="195"/>
      <c r="H80" s="195"/>
      <c r="I80" s="196"/>
      <c r="J80" s="195"/>
      <c r="K80" s="196"/>
      <c r="L80" s="196"/>
      <c r="M80" s="195"/>
      <c r="N80" s="242"/>
      <c r="O80" s="198" t="e">
        <f>VLOOKUP($B80,ma!$A:$C,3,0)</f>
        <v>#N/A</v>
      </c>
      <c r="P80" s="198" t="e">
        <f t="shared" si="0"/>
        <v>#N/A</v>
      </c>
      <c r="Q80" s="198">
        <f t="shared" si="1"/>
        <v>0</v>
      </c>
      <c r="R80" s="209"/>
      <c r="S80" s="209"/>
      <c r="T80" s="209"/>
      <c r="U80" s="209"/>
      <c r="V80" s="209"/>
      <c r="W80" s="210"/>
      <c r="X80" s="210"/>
      <c r="Y80" s="210"/>
      <c r="Z80" s="210"/>
      <c r="AA80" s="210"/>
      <c r="AB80" s="210"/>
      <c r="AC80" s="210"/>
    </row>
    <row r="81" spans="1:29" ht="16">
      <c r="A81" s="190">
        <f t="shared" si="2"/>
        <v>76</v>
      </c>
      <c r="B81" s="191"/>
      <c r="C81" s="246"/>
      <c r="D81" s="192"/>
      <c r="E81" s="199" t="e">
        <f>VLOOKUP($C81,xe!$A:$B,2,0)</f>
        <v>#N/A</v>
      </c>
      <c r="F81" s="194" t="e">
        <f>VLOOKUP($B81,ma!$A:$B,2,0)</f>
        <v>#N/A</v>
      </c>
      <c r="G81" s="195"/>
      <c r="H81" s="195"/>
      <c r="I81" s="196"/>
      <c r="J81" s="195"/>
      <c r="K81" s="196"/>
      <c r="L81" s="196"/>
      <c r="M81" s="195"/>
      <c r="N81" s="242"/>
      <c r="O81" s="198" t="e">
        <f>VLOOKUP($B81,ma!$A:$C,3,0)</f>
        <v>#N/A</v>
      </c>
      <c r="P81" s="198" t="e">
        <f t="shared" si="0"/>
        <v>#N/A</v>
      </c>
      <c r="Q81" s="198">
        <f t="shared" si="1"/>
        <v>0</v>
      </c>
      <c r="R81" s="177"/>
      <c r="S81" s="177"/>
      <c r="T81" s="177"/>
      <c r="U81" s="177"/>
      <c r="V81" s="177"/>
      <c r="W81" s="22"/>
      <c r="X81" s="22"/>
      <c r="Y81" s="22"/>
      <c r="Z81" s="22"/>
      <c r="AA81" s="22"/>
      <c r="AB81" s="22"/>
      <c r="AC81" s="22"/>
    </row>
    <row r="82" spans="1:29" ht="16">
      <c r="A82" s="190">
        <f t="shared" si="2"/>
        <v>77</v>
      </c>
      <c r="B82" s="191"/>
      <c r="C82" s="246"/>
      <c r="D82" s="192"/>
      <c r="E82" s="199" t="e">
        <f>VLOOKUP($C82,xe!$A:$B,2,0)</f>
        <v>#N/A</v>
      </c>
      <c r="F82" s="194" t="e">
        <f>VLOOKUP($B82,ma!$A:$B,2,0)</f>
        <v>#N/A</v>
      </c>
      <c r="G82" s="195"/>
      <c r="H82" s="195"/>
      <c r="I82" s="196"/>
      <c r="J82" s="195"/>
      <c r="K82" s="196"/>
      <c r="L82" s="196"/>
      <c r="M82" s="195"/>
      <c r="N82" s="242"/>
      <c r="O82" s="198" t="e">
        <f>VLOOKUP($B82,ma!$A:$C,3,0)</f>
        <v>#N/A</v>
      </c>
      <c r="P82" s="198" t="e">
        <f t="shared" si="0"/>
        <v>#N/A</v>
      </c>
      <c r="Q82" s="198">
        <f t="shared" si="1"/>
        <v>0</v>
      </c>
      <c r="R82" s="177"/>
      <c r="S82" s="177"/>
      <c r="T82" s="177"/>
      <c r="U82" s="177"/>
      <c r="V82" s="177"/>
      <c r="W82" s="22"/>
      <c r="X82" s="22"/>
      <c r="Y82" s="22"/>
      <c r="Z82" s="22"/>
      <c r="AA82" s="22"/>
      <c r="AB82" s="22"/>
      <c r="AC82" s="22"/>
    </row>
    <row r="83" spans="1:29" ht="16">
      <c r="A83" s="190">
        <f t="shared" si="2"/>
        <v>78</v>
      </c>
      <c r="B83" s="191"/>
      <c r="C83" s="246"/>
      <c r="D83" s="192"/>
      <c r="E83" s="199" t="e">
        <f>VLOOKUP($C83,xe!$A:$B,2,0)</f>
        <v>#N/A</v>
      </c>
      <c r="F83" s="194" t="e">
        <f>VLOOKUP($B83,ma!$A:$B,2,0)</f>
        <v>#N/A</v>
      </c>
      <c r="G83" s="195"/>
      <c r="H83" s="195"/>
      <c r="I83" s="196"/>
      <c r="J83" s="195"/>
      <c r="K83" s="196"/>
      <c r="L83" s="196"/>
      <c r="M83" s="195"/>
      <c r="N83" s="242"/>
      <c r="O83" s="198" t="e">
        <f>VLOOKUP($B83,ma!$A:$C,3,0)</f>
        <v>#N/A</v>
      </c>
      <c r="P83" s="198" t="e">
        <f t="shared" si="0"/>
        <v>#N/A</v>
      </c>
      <c r="Q83" s="198">
        <f t="shared" si="1"/>
        <v>0</v>
      </c>
      <c r="R83" s="177"/>
      <c r="S83" s="177"/>
      <c r="T83" s="177"/>
      <c r="U83" s="177"/>
      <c r="V83" s="177"/>
      <c r="W83" s="22"/>
      <c r="X83" s="22"/>
      <c r="Y83" s="22"/>
      <c r="Z83" s="22"/>
      <c r="AA83" s="22"/>
      <c r="AB83" s="22"/>
      <c r="AC83" s="22"/>
    </row>
    <row r="84" spans="1:29" ht="16">
      <c r="A84" s="190">
        <f t="shared" si="2"/>
        <v>79</v>
      </c>
      <c r="B84" s="191"/>
      <c r="C84" s="246"/>
      <c r="D84" s="192"/>
      <c r="E84" s="199" t="e">
        <f>VLOOKUP($C84,xe!$A:$B,2,0)</f>
        <v>#N/A</v>
      </c>
      <c r="F84" s="194" t="e">
        <f>VLOOKUP($B84,ma!$A:$B,2,0)</f>
        <v>#N/A</v>
      </c>
      <c r="G84" s="195"/>
      <c r="H84" s="195"/>
      <c r="I84" s="196"/>
      <c r="J84" s="195"/>
      <c r="K84" s="196"/>
      <c r="L84" s="196"/>
      <c r="M84" s="195"/>
      <c r="N84" s="242"/>
      <c r="O84" s="198" t="e">
        <f>VLOOKUP($B84,ma!$A:$C,3,0)</f>
        <v>#N/A</v>
      </c>
      <c r="P84" s="198" t="e">
        <f t="shared" si="0"/>
        <v>#N/A</v>
      </c>
      <c r="Q84" s="198">
        <f t="shared" si="1"/>
        <v>0</v>
      </c>
      <c r="R84" s="209"/>
      <c r="S84" s="209"/>
      <c r="T84" s="209"/>
      <c r="U84" s="209"/>
      <c r="V84" s="209"/>
      <c r="W84" s="210"/>
      <c r="X84" s="210"/>
      <c r="Y84" s="210"/>
      <c r="Z84" s="210"/>
      <c r="AA84" s="210"/>
      <c r="AB84" s="210"/>
      <c r="AC84" s="210"/>
    </row>
    <row r="85" spans="1:29" ht="16">
      <c r="A85" s="190">
        <f t="shared" si="2"/>
        <v>80</v>
      </c>
      <c r="B85" s="191"/>
      <c r="C85" s="246"/>
      <c r="D85" s="192"/>
      <c r="E85" s="199" t="e">
        <f>VLOOKUP($C85,xe!$A:$B,2,0)</f>
        <v>#N/A</v>
      </c>
      <c r="F85" s="194" t="e">
        <f>VLOOKUP($B85,ma!$A:$B,2,0)</f>
        <v>#N/A</v>
      </c>
      <c r="G85" s="195"/>
      <c r="H85" s="195"/>
      <c r="I85" s="196"/>
      <c r="J85" s="195"/>
      <c r="K85" s="196"/>
      <c r="L85" s="196"/>
      <c r="M85" s="195"/>
      <c r="N85" s="242"/>
      <c r="O85" s="198" t="e">
        <f>VLOOKUP($B85,ma!$A:$C,3,0)</f>
        <v>#N/A</v>
      </c>
      <c r="P85" s="198" t="e">
        <f t="shared" si="0"/>
        <v>#N/A</v>
      </c>
      <c r="Q85" s="198">
        <f t="shared" si="1"/>
        <v>0</v>
      </c>
      <c r="R85" s="177"/>
      <c r="S85" s="177"/>
      <c r="T85" s="177"/>
      <c r="U85" s="177"/>
      <c r="V85" s="177"/>
      <c r="W85" s="22"/>
      <c r="X85" s="22"/>
      <c r="Y85" s="22"/>
      <c r="Z85" s="22"/>
      <c r="AA85" s="22"/>
      <c r="AB85" s="22"/>
      <c r="AC85" s="22"/>
    </row>
    <row r="86" spans="1:29" ht="16">
      <c r="A86" s="190">
        <f t="shared" si="2"/>
        <v>81</v>
      </c>
      <c r="B86" s="191"/>
      <c r="C86" s="246"/>
      <c r="D86" s="192"/>
      <c r="E86" s="199" t="e">
        <f>VLOOKUP($C86,xe!$A:$B,2,0)</f>
        <v>#N/A</v>
      </c>
      <c r="F86" s="194" t="e">
        <f>VLOOKUP($B86,ma!$A:$B,2,0)</f>
        <v>#N/A</v>
      </c>
      <c r="G86" s="195"/>
      <c r="H86" s="195"/>
      <c r="I86" s="196"/>
      <c r="J86" s="195"/>
      <c r="K86" s="196"/>
      <c r="L86" s="196"/>
      <c r="M86" s="195"/>
      <c r="N86" s="242"/>
      <c r="O86" s="198" t="e">
        <f>VLOOKUP($B86,ma!$A:$C,3,0)</f>
        <v>#N/A</v>
      </c>
      <c r="P86" s="198" t="e">
        <f t="shared" si="0"/>
        <v>#N/A</v>
      </c>
      <c r="Q86" s="198">
        <f t="shared" si="1"/>
        <v>0</v>
      </c>
      <c r="R86" s="177"/>
      <c r="S86" s="177"/>
      <c r="T86" s="177"/>
      <c r="U86" s="177"/>
      <c r="V86" s="177"/>
      <c r="W86" s="22"/>
      <c r="X86" s="22"/>
      <c r="Y86" s="22"/>
      <c r="Z86" s="22"/>
      <c r="AA86" s="22"/>
      <c r="AB86" s="22"/>
      <c r="AC86" s="22"/>
    </row>
    <row r="87" spans="1:29" ht="16">
      <c r="A87" s="190">
        <f t="shared" si="2"/>
        <v>82</v>
      </c>
      <c r="B87" s="191"/>
      <c r="C87" s="246"/>
      <c r="D87" s="192"/>
      <c r="E87" s="199" t="e">
        <f>VLOOKUP($C87,xe!$A:$B,2,0)</f>
        <v>#N/A</v>
      </c>
      <c r="F87" s="194" t="e">
        <f>VLOOKUP($B87,ma!$A:$B,2,0)</f>
        <v>#N/A</v>
      </c>
      <c r="G87" s="195"/>
      <c r="H87" s="195"/>
      <c r="I87" s="196"/>
      <c r="J87" s="195"/>
      <c r="K87" s="196"/>
      <c r="L87" s="196"/>
      <c r="M87" s="195"/>
      <c r="N87" s="242"/>
      <c r="O87" s="198" t="e">
        <f>VLOOKUP($B87,ma!$A:$C,3,0)</f>
        <v>#N/A</v>
      </c>
      <c r="P87" s="198" t="e">
        <f t="shared" si="0"/>
        <v>#N/A</v>
      </c>
      <c r="Q87" s="198">
        <f t="shared" si="1"/>
        <v>0</v>
      </c>
      <c r="R87" s="177"/>
      <c r="S87" s="177"/>
      <c r="T87" s="177"/>
      <c r="U87" s="177"/>
      <c r="V87" s="177"/>
      <c r="W87" s="22"/>
      <c r="X87" s="22"/>
      <c r="Y87" s="22"/>
      <c r="Z87" s="22"/>
      <c r="AA87" s="22"/>
      <c r="AB87" s="22"/>
      <c r="AC87" s="22"/>
    </row>
    <row r="88" spans="1:29" ht="16">
      <c r="A88" s="190">
        <f t="shared" si="2"/>
        <v>83</v>
      </c>
      <c r="B88" s="191"/>
      <c r="C88" s="246"/>
      <c r="D88" s="192"/>
      <c r="E88" s="199" t="e">
        <f>VLOOKUP($C88,xe!$A:$B,2,0)</f>
        <v>#N/A</v>
      </c>
      <c r="F88" s="194" t="e">
        <f>VLOOKUP($B88,ma!$A:$B,2,0)</f>
        <v>#N/A</v>
      </c>
      <c r="G88" s="195"/>
      <c r="H88" s="195"/>
      <c r="I88" s="196"/>
      <c r="J88" s="195"/>
      <c r="K88" s="196"/>
      <c r="L88" s="196"/>
      <c r="M88" s="195"/>
      <c r="N88" s="242"/>
      <c r="O88" s="198" t="e">
        <f>VLOOKUP($B88,ma!$A:$C,3,0)</f>
        <v>#N/A</v>
      </c>
      <c r="P88" s="198" t="e">
        <f t="shared" si="0"/>
        <v>#N/A</v>
      </c>
      <c r="Q88" s="198">
        <f t="shared" si="1"/>
        <v>0</v>
      </c>
      <c r="R88" s="209"/>
      <c r="S88" s="209"/>
      <c r="T88" s="209"/>
      <c r="U88" s="209"/>
      <c r="V88" s="209"/>
      <c r="W88" s="210"/>
      <c r="X88" s="210"/>
      <c r="Y88" s="210"/>
      <c r="Z88" s="210"/>
      <c r="AA88" s="210"/>
      <c r="AB88" s="210"/>
      <c r="AC88" s="210"/>
    </row>
    <row r="89" spans="1:29" ht="16">
      <c r="A89" s="190">
        <f t="shared" si="2"/>
        <v>84</v>
      </c>
      <c r="B89" s="191"/>
      <c r="C89" s="246"/>
      <c r="D89" s="192"/>
      <c r="E89" s="199" t="e">
        <f>VLOOKUP($C89,xe!$A:$B,2,0)</f>
        <v>#N/A</v>
      </c>
      <c r="F89" s="194" t="e">
        <f>VLOOKUP($B89,ma!$A:$B,2,0)</f>
        <v>#N/A</v>
      </c>
      <c r="G89" s="195"/>
      <c r="H89" s="195"/>
      <c r="I89" s="196"/>
      <c r="J89" s="195"/>
      <c r="K89" s="196"/>
      <c r="L89" s="196"/>
      <c r="M89" s="195"/>
      <c r="N89" s="242"/>
      <c r="O89" s="198" t="e">
        <f>VLOOKUP($B89,ma!$A:$C,3,0)</f>
        <v>#N/A</v>
      </c>
      <c r="P89" s="198" t="e">
        <f t="shared" si="0"/>
        <v>#N/A</v>
      </c>
      <c r="Q89" s="198">
        <f t="shared" si="1"/>
        <v>0</v>
      </c>
      <c r="R89" s="177"/>
      <c r="S89" s="177"/>
      <c r="T89" s="177"/>
      <c r="U89" s="177"/>
      <c r="V89" s="177"/>
      <c r="W89" s="22"/>
      <c r="X89" s="22"/>
      <c r="Y89" s="22"/>
      <c r="Z89" s="22"/>
      <c r="AA89" s="22"/>
      <c r="AB89" s="22"/>
      <c r="AC89" s="22"/>
    </row>
    <row r="90" spans="1:29" ht="16">
      <c r="A90" s="190">
        <f t="shared" si="2"/>
        <v>85</v>
      </c>
      <c r="B90" s="191"/>
      <c r="C90" s="246"/>
      <c r="D90" s="192"/>
      <c r="E90" s="199" t="e">
        <f>VLOOKUP($C90,xe!$A:$B,2,0)</f>
        <v>#N/A</v>
      </c>
      <c r="F90" s="194" t="e">
        <f>VLOOKUP($B90,ma!$A:$B,2,0)</f>
        <v>#N/A</v>
      </c>
      <c r="G90" s="195"/>
      <c r="H90" s="195"/>
      <c r="I90" s="196"/>
      <c r="J90" s="195"/>
      <c r="K90" s="196"/>
      <c r="L90" s="196"/>
      <c r="M90" s="195"/>
      <c r="N90" s="242"/>
      <c r="O90" s="198" t="e">
        <f>VLOOKUP($B90,ma!$A:$C,3,0)</f>
        <v>#N/A</v>
      </c>
      <c r="P90" s="198" t="e">
        <f t="shared" si="0"/>
        <v>#N/A</v>
      </c>
      <c r="Q90" s="198">
        <f t="shared" si="1"/>
        <v>0</v>
      </c>
      <c r="R90" s="177"/>
      <c r="S90" s="177"/>
      <c r="T90" s="177"/>
      <c r="U90" s="177"/>
      <c r="V90" s="177"/>
      <c r="W90" s="22"/>
      <c r="X90" s="22"/>
      <c r="Y90" s="22"/>
      <c r="Z90" s="22"/>
      <c r="AA90" s="22"/>
      <c r="AB90" s="22"/>
      <c r="AC90" s="22"/>
    </row>
    <row r="91" spans="1:29" ht="16">
      <c r="A91" s="190">
        <f t="shared" si="2"/>
        <v>86</v>
      </c>
      <c r="B91" s="191"/>
      <c r="C91" s="246"/>
      <c r="D91" s="192"/>
      <c r="E91" s="199" t="e">
        <f>VLOOKUP($C91,xe!$A:$B,2,0)</f>
        <v>#N/A</v>
      </c>
      <c r="F91" s="194" t="e">
        <f>VLOOKUP($B91,ma!$A:$B,2,0)</f>
        <v>#N/A</v>
      </c>
      <c r="G91" s="195"/>
      <c r="H91" s="195"/>
      <c r="I91" s="196"/>
      <c r="J91" s="195"/>
      <c r="K91" s="196"/>
      <c r="L91" s="196"/>
      <c r="M91" s="195"/>
      <c r="N91" s="242"/>
      <c r="O91" s="198" t="e">
        <f>VLOOKUP($B91,ma!$A:$C,3,0)</f>
        <v>#N/A</v>
      </c>
      <c r="P91" s="198" t="e">
        <f t="shared" si="0"/>
        <v>#N/A</v>
      </c>
      <c r="Q91" s="198">
        <f t="shared" si="1"/>
        <v>0</v>
      </c>
      <c r="R91" s="209"/>
      <c r="S91" s="209"/>
      <c r="T91" s="209"/>
      <c r="U91" s="209"/>
      <c r="V91" s="209"/>
      <c r="W91" s="210"/>
      <c r="X91" s="210"/>
      <c r="Y91" s="210"/>
      <c r="Z91" s="210"/>
      <c r="AA91" s="210"/>
      <c r="AB91" s="210"/>
      <c r="AC91" s="210"/>
    </row>
    <row r="92" spans="1:29" ht="16">
      <c r="A92" s="190">
        <f t="shared" si="2"/>
        <v>87</v>
      </c>
      <c r="B92" s="191"/>
      <c r="C92" s="246"/>
      <c r="D92" s="192"/>
      <c r="E92" s="199" t="e">
        <f>VLOOKUP($C92,xe!$A:$B,2,0)</f>
        <v>#N/A</v>
      </c>
      <c r="F92" s="194" t="e">
        <f>VLOOKUP($B92,ma!$A:$B,2,0)</f>
        <v>#N/A</v>
      </c>
      <c r="G92" s="195"/>
      <c r="H92" s="195"/>
      <c r="I92" s="196"/>
      <c r="J92" s="195"/>
      <c r="K92" s="196"/>
      <c r="L92" s="196"/>
      <c r="M92" s="195"/>
      <c r="N92" s="242"/>
      <c r="O92" s="198" t="e">
        <f>VLOOKUP($B92,ma!$A:$C,3,0)</f>
        <v>#N/A</v>
      </c>
      <c r="P92" s="198" t="e">
        <f t="shared" si="0"/>
        <v>#N/A</v>
      </c>
      <c r="Q92" s="198">
        <f t="shared" si="1"/>
        <v>0</v>
      </c>
      <c r="R92" s="177"/>
      <c r="S92" s="177"/>
      <c r="T92" s="177"/>
      <c r="U92" s="177"/>
      <c r="V92" s="177"/>
      <c r="W92" s="22"/>
      <c r="X92" s="22"/>
      <c r="Y92" s="22"/>
      <c r="Z92" s="22"/>
      <c r="AA92" s="22"/>
      <c r="AB92" s="22"/>
      <c r="AC92" s="22"/>
    </row>
    <row r="93" spans="1:29" ht="16">
      <c r="A93" s="190">
        <f t="shared" si="2"/>
        <v>88</v>
      </c>
      <c r="B93" s="191"/>
      <c r="C93" s="246"/>
      <c r="D93" s="192"/>
      <c r="E93" s="199" t="e">
        <f>VLOOKUP($C93,xe!$A:$B,2,0)</f>
        <v>#N/A</v>
      </c>
      <c r="F93" s="194" t="e">
        <f>VLOOKUP($B93,ma!$A:$B,2,0)</f>
        <v>#N/A</v>
      </c>
      <c r="G93" s="195"/>
      <c r="H93" s="195"/>
      <c r="I93" s="196"/>
      <c r="J93" s="195"/>
      <c r="K93" s="196"/>
      <c r="L93" s="196"/>
      <c r="M93" s="195"/>
      <c r="N93" s="242"/>
      <c r="O93" s="198" t="e">
        <f>VLOOKUP($B93,ma!$A:$C,3,0)</f>
        <v>#N/A</v>
      </c>
      <c r="P93" s="198" t="e">
        <f t="shared" si="0"/>
        <v>#N/A</v>
      </c>
      <c r="Q93" s="198">
        <f t="shared" si="1"/>
        <v>0</v>
      </c>
      <c r="R93" s="177"/>
      <c r="S93" s="177"/>
      <c r="T93" s="177"/>
      <c r="U93" s="177"/>
      <c r="V93" s="177"/>
      <c r="W93" s="22"/>
      <c r="X93" s="22"/>
      <c r="Y93" s="22"/>
      <c r="Z93" s="22"/>
      <c r="AA93" s="22"/>
      <c r="AB93" s="22"/>
      <c r="AC93" s="22"/>
    </row>
    <row r="94" spans="1:29" ht="16">
      <c r="A94" s="190">
        <f t="shared" si="2"/>
        <v>89</v>
      </c>
      <c r="B94" s="191"/>
      <c r="C94" s="246"/>
      <c r="D94" s="192"/>
      <c r="E94" s="199" t="e">
        <f>VLOOKUP($C94,xe!$A:$B,2,0)</f>
        <v>#N/A</v>
      </c>
      <c r="F94" s="194" t="e">
        <f>VLOOKUP($B94,ma!$A:$B,2,0)</f>
        <v>#N/A</v>
      </c>
      <c r="G94" s="195"/>
      <c r="H94" s="195"/>
      <c r="I94" s="196"/>
      <c r="J94" s="195"/>
      <c r="K94" s="196"/>
      <c r="L94" s="196"/>
      <c r="M94" s="195"/>
      <c r="N94" s="242"/>
      <c r="O94" s="198" t="e">
        <f>VLOOKUP($B94,ma!$A:$C,3,0)</f>
        <v>#N/A</v>
      </c>
      <c r="P94" s="198" t="e">
        <f t="shared" si="0"/>
        <v>#N/A</v>
      </c>
      <c r="Q94" s="198">
        <f t="shared" si="1"/>
        <v>0</v>
      </c>
      <c r="R94" s="177"/>
      <c r="S94" s="177"/>
      <c r="T94" s="177"/>
      <c r="U94" s="177"/>
      <c r="V94" s="177"/>
      <c r="W94" s="22"/>
      <c r="X94" s="22"/>
      <c r="Y94" s="22"/>
      <c r="Z94" s="22"/>
      <c r="AA94" s="22"/>
      <c r="AB94" s="22"/>
      <c r="AC94" s="22"/>
    </row>
    <row r="95" spans="1:29" ht="16">
      <c r="A95" s="190">
        <f t="shared" si="2"/>
        <v>90</v>
      </c>
      <c r="B95" s="191"/>
      <c r="C95" s="246"/>
      <c r="D95" s="192"/>
      <c r="E95" s="199" t="e">
        <f>VLOOKUP($C95,xe!$A:$B,2,0)</f>
        <v>#N/A</v>
      </c>
      <c r="F95" s="194" t="e">
        <f>VLOOKUP($B95,ma!$A:$B,2,0)</f>
        <v>#N/A</v>
      </c>
      <c r="G95" s="195"/>
      <c r="H95" s="195"/>
      <c r="I95" s="196"/>
      <c r="J95" s="195"/>
      <c r="K95" s="196"/>
      <c r="L95" s="196"/>
      <c r="M95" s="195"/>
      <c r="N95" s="242"/>
      <c r="O95" s="198" t="e">
        <f>VLOOKUP($B95,ma!$A:$C,3,0)</f>
        <v>#N/A</v>
      </c>
      <c r="P95" s="198" t="e">
        <f t="shared" si="0"/>
        <v>#N/A</v>
      </c>
      <c r="Q95" s="198">
        <f t="shared" si="1"/>
        <v>0</v>
      </c>
      <c r="R95" s="177"/>
      <c r="S95" s="177"/>
      <c r="T95" s="177"/>
      <c r="U95" s="177"/>
      <c r="V95" s="177"/>
      <c r="W95" s="22"/>
      <c r="X95" s="22"/>
      <c r="Y95" s="22"/>
      <c r="Z95" s="22"/>
      <c r="AA95" s="22"/>
      <c r="AB95" s="22"/>
      <c r="AC95" s="22"/>
    </row>
    <row r="96" spans="1:29" ht="16">
      <c r="A96" s="190">
        <f t="shared" si="2"/>
        <v>91</v>
      </c>
      <c r="B96" s="191"/>
      <c r="C96" s="246"/>
      <c r="D96" s="192"/>
      <c r="E96" s="199" t="e">
        <f>VLOOKUP($C96,xe!$A:$B,2,0)</f>
        <v>#N/A</v>
      </c>
      <c r="F96" s="194" t="e">
        <f>VLOOKUP($B96,ma!$A:$B,2,0)</f>
        <v>#N/A</v>
      </c>
      <c r="G96" s="195"/>
      <c r="H96" s="195"/>
      <c r="I96" s="196"/>
      <c r="J96" s="195"/>
      <c r="K96" s="196"/>
      <c r="L96" s="196"/>
      <c r="M96" s="195"/>
      <c r="N96" s="242"/>
      <c r="O96" s="198" t="e">
        <f>VLOOKUP($B96,ma!$A:$C,3,0)</f>
        <v>#N/A</v>
      </c>
      <c r="P96" s="198" t="e">
        <f t="shared" si="0"/>
        <v>#N/A</v>
      </c>
      <c r="Q96" s="198">
        <f t="shared" si="1"/>
        <v>0</v>
      </c>
      <c r="R96" s="177"/>
      <c r="S96" s="177"/>
      <c r="T96" s="177"/>
      <c r="U96" s="177"/>
      <c r="V96" s="177"/>
      <c r="W96" s="22"/>
      <c r="X96" s="22"/>
      <c r="Y96" s="22"/>
      <c r="Z96" s="22"/>
      <c r="AA96" s="22"/>
      <c r="AB96" s="22"/>
      <c r="AC96" s="22"/>
    </row>
    <row r="97" spans="1:29" ht="16">
      <c r="A97" s="190">
        <f t="shared" si="2"/>
        <v>92</v>
      </c>
      <c r="B97" s="191"/>
      <c r="C97" s="246"/>
      <c r="D97" s="192"/>
      <c r="E97" s="199" t="e">
        <f>VLOOKUP($C97,xe!$A:$B,2,0)</f>
        <v>#N/A</v>
      </c>
      <c r="F97" s="194" t="e">
        <f>VLOOKUP($B97,ma!$A:$B,2,0)</f>
        <v>#N/A</v>
      </c>
      <c r="G97" s="195"/>
      <c r="H97" s="195"/>
      <c r="I97" s="196"/>
      <c r="J97" s="195"/>
      <c r="K97" s="196"/>
      <c r="L97" s="196"/>
      <c r="M97" s="195"/>
      <c r="N97" s="242"/>
      <c r="O97" s="198" t="e">
        <f>VLOOKUP($B97,ma!$A:$C,3,0)</f>
        <v>#N/A</v>
      </c>
      <c r="P97" s="198" t="e">
        <f t="shared" si="0"/>
        <v>#N/A</v>
      </c>
      <c r="Q97" s="198">
        <f t="shared" si="1"/>
        <v>0</v>
      </c>
      <c r="R97" s="177"/>
      <c r="S97" s="177"/>
      <c r="T97" s="177"/>
      <c r="U97" s="177"/>
      <c r="V97" s="177"/>
      <c r="W97" s="22"/>
      <c r="X97" s="22"/>
      <c r="Y97" s="22"/>
      <c r="Z97" s="22"/>
      <c r="AA97" s="22"/>
      <c r="AB97" s="22"/>
      <c r="AC97" s="22"/>
    </row>
    <row r="98" spans="1:29" ht="16">
      <c r="A98" s="190">
        <f t="shared" si="2"/>
        <v>93</v>
      </c>
      <c r="B98" s="191"/>
      <c r="C98" s="246"/>
      <c r="D98" s="192"/>
      <c r="E98" s="199" t="e">
        <f>VLOOKUP($C98,xe!$A:$B,2,0)</f>
        <v>#N/A</v>
      </c>
      <c r="F98" s="194" t="e">
        <f>VLOOKUP($B98,ma!$A:$B,2,0)</f>
        <v>#N/A</v>
      </c>
      <c r="G98" s="195"/>
      <c r="H98" s="195"/>
      <c r="I98" s="196"/>
      <c r="J98" s="195"/>
      <c r="K98" s="196"/>
      <c r="L98" s="196"/>
      <c r="M98" s="195"/>
      <c r="N98" s="242"/>
      <c r="O98" s="198" t="e">
        <f>VLOOKUP($B98,ma!$A:$C,3,0)</f>
        <v>#N/A</v>
      </c>
      <c r="P98" s="198" t="e">
        <f t="shared" si="0"/>
        <v>#N/A</v>
      </c>
      <c r="Q98" s="198">
        <f t="shared" si="1"/>
        <v>0</v>
      </c>
      <c r="R98" s="177"/>
      <c r="S98" s="177"/>
      <c r="T98" s="177"/>
      <c r="U98" s="177"/>
      <c r="V98" s="177"/>
      <c r="W98" s="22"/>
      <c r="X98" s="22"/>
      <c r="Y98" s="22"/>
      <c r="Z98" s="22"/>
      <c r="AA98" s="22"/>
      <c r="AB98" s="22"/>
      <c r="AC98" s="22"/>
    </row>
    <row r="99" spans="1:29" ht="16">
      <c r="A99" s="190">
        <f t="shared" si="2"/>
        <v>94</v>
      </c>
      <c r="B99" s="191"/>
      <c r="C99" s="246"/>
      <c r="D99" s="192"/>
      <c r="E99" s="199" t="e">
        <f>VLOOKUP($C99,xe!$A:$B,2,0)</f>
        <v>#N/A</v>
      </c>
      <c r="F99" s="194" t="e">
        <f>VLOOKUP($B99,ma!$A:$B,2,0)</f>
        <v>#N/A</v>
      </c>
      <c r="G99" s="195"/>
      <c r="H99" s="195"/>
      <c r="I99" s="196"/>
      <c r="J99" s="195"/>
      <c r="K99" s="196"/>
      <c r="L99" s="196"/>
      <c r="M99" s="195"/>
      <c r="N99" s="242"/>
      <c r="O99" s="198" t="e">
        <f>VLOOKUP($B99,ma!$A:$C,3,0)</f>
        <v>#N/A</v>
      </c>
      <c r="P99" s="198" t="e">
        <f t="shared" si="0"/>
        <v>#N/A</v>
      </c>
      <c r="Q99" s="198">
        <f t="shared" si="1"/>
        <v>0</v>
      </c>
      <c r="R99" s="177"/>
      <c r="S99" s="177"/>
      <c r="T99" s="177"/>
      <c r="U99" s="177"/>
      <c r="V99" s="177"/>
      <c r="W99" s="22"/>
      <c r="X99" s="22"/>
      <c r="Y99" s="22"/>
      <c r="Z99" s="22"/>
      <c r="AA99" s="22"/>
      <c r="AB99" s="22"/>
      <c r="AC99" s="22"/>
    </row>
    <row r="100" spans="1:29" ht="16">
      <c r="A100" s="190"/>
      <c r="B100" s="181"/>
      <c r="C100" s="181"/>
      <c r="D100" s="267" t="s">
        <v>2127</v>
      </c>
      <c r="E100" s="268"/>
      <c r="F100" s="269"/>
      <c r="G100" s="247"/>
      <c r="H100" s="248" t="s">
        <v>2128</v>
      </c>
      <c r="I100" s="225">
        <f>SUBTOTAL(9,I6:I91)</f>
        <v>300000</v>
      </c>
      <c r="J100" s="225"/>
      <c r="K100" s="249">
        <f>SUM(K6:K91)</f>
        <v>0</v>
      </c>
      <c r="L100" s="249">
        <f>SUBTOTAL(9,L6:L91)</f>
        <v>0</v>
      </c>
      <c r="M100" s="247"/>
      <c r="N100" s="249">
        <f>SUBTOTAL(9,N6:N91)</f>
        <v>388</v>
      </c>
      <c r="O100" s="225"/>
      <c r="P100" s="225" t="e">
        <f>SUBTOTAL(9,O6:OP91)</f>
        <v>#N/A</v>
      </c>
      <c r="Q100" s="225">
        <f>SUBTOTAL(9,Q6:Q91)</f>
        <v>19400000</v>
      </c>
      <c r="R100" s="232"/>
      <c r="S100" s="232"/>
      <c r="T100" s="232"/>
      <c r="U100" s="232"/>
      <c r="V100" s="232"/>
    </row>
    <row r="101" spans="1:29" ht="16">
      <c r="A101" s="174"/>
      <c r="B101" s="178"/>
      <c r="C101" s="178"/>
      <c r="D101" s="174"/>
      <c r="E101" s="174"/>
      <c r="F101" s="174"/>
      <c r="G101" s="222"/>
      <c r="H101" s="222"/>
      <c r="I101" s="222"/>
      <c r="J101" s="222"/>
      <c r="K101" s="181"/>
      <c r="L101" s="181"/>
      <c r="M101" s="181"/>
      <c r="N101" s="181"/>
      <c r="O101" s="222"/>
      <c r="P101" s="181"/>
      <c r="Q101" s="223"/>
      <c r="R101" s="232"/>
      <c r="S101" s="232"/>
      <c r="T101" s="232"/>
      <c r="U101" s="71"/>
      <c r="V101" s="71"/>
    </row>
    <row r="102" spans="1:29" ht="16">
      <c r="A102" s="174"/>
      <c r="B102" s="178"/>
      <c r="C102" s="178"/>
      <c r="D102" s="174"/>
      <c r="E102" s="174"/>
      <c r="F102" s="174"/>
      <c r="G102" s="222"/>
      <c r="H102" s="222"/>
      <c r="I102" s="224" t="s">
        <v>2106</v>
      </c>
      <c r="J102" s="250">
        <v>12000000</v>
      </c>
      <c r="K102" s="181"/>
      <c r="L102" s="181"/>
      <c r="M102" s="181"/>
      <c r="N102" s="181"/>
      <c r="O102" s="222"/>
      <c r="P102" s="181"/>
      <c r="Q102" s="223"/>
      <c r="R102" s="232"/>
      <c r="S102" s="232"/>
      <c r="T102" s="232"/>
      <c r="U102" s="71"/>
      <c r="V102" s="71"/>
    </row>
    <row r="103" spans="1:29" ht="16">
      <c r="A103" s="174"/>
      <c r="B103" s="178"/>
      <c r="C103" s="178"/>
      <c r="D103" s="174"/>
      <c r="E103" s="174"/>
      <c r="F103" s="174"/>
      <c r="G103" s="222"/>
      <c r="H103" s="226"/>
      <c r="I103" s="224" t="s">
        <v>2070</v>
      </c>
      <c r="J103" s="250">
        <f>I100+L100</f>
        <v>300000</v>
      </c>
      <c r="K103" s="181"/>
      <c r="L103" s="181"/>
      <c r="M103" s="181"/>
      <c r="N103" s="181"/>
      <c r="O103" s="222"/>
      <c r="P103" s="181"/>
      <c r="Q103" s="223"/>
      <c r="R103" s="232"/>
      <c r="S103" s="232"/>
      <c r="T103" s="232"/>
      <c r="U103" s="71"/>
      <c r="V103" s="71"/>
    </row>
    <row r="104" spans="1:29" ht="16">
      <c r="A104" s="174"/>
      <c r="B104" s="178"/>
      <c r="C104" s="178"/>
      <c r="D104" s="174"/>
      <c r="E104" s="174"/>
      <c r="F104" s="174"/>
      <c r="G104" s="222"/>
      <c r="H104" s="226"/>
      <c r="I104" s="224" t="s">
        <v>2129</v>
      </c>
      <c r="J104" s="250">
        <v>1500000</v>
      </c>
      <c r="K104" s="181"/>
      <c r="L104" s="181"/>
      <c r="M104" s="181"/>
      <c r="N104" s="181"/>
      <c r="O104" s="222"/>
      <c r="P104" s="181"/>
      <c r="Q104" s="223"/>
      <c r="R104" s="232"/>
      <c r="S104" s="232"/>
      <c r="T104" s="232"/>
      <c r="U104" s="71"/>
      <c r="V104" s="71"/>
    </row>
    <row r="105" spans="1:29" ht="16">
      <c r="A105" s="174"/>
      <c r="B105" s="178"/>
      <c r="C105" s="178"/>
      <c r="D105" s="174"/>
      <c r="E105" s="174"/>
      <c r="F105" s="174"/>
      <c r="G105" s="228"/>
      <c r="H105" s="222"/>
      <c r="I105" s="224" t="s">
        <v>2105</v>
      </c>
      <c r="J105" s="250">
        <f>J102+J103+J104</f>
        <v>13800000</v>
      </c>
      <c r="K105" s="181"/>
      <c r="L105" s="181"/>
      <c r="M105" s="181"/>
      <c r="N105" s="181"/>
      <c r="O105" s="222"/>
      <c r="P105" s="181"/>
      <c r="Q105" s="223"/>
      <c r="R105" s="232"/>
      <c r="S105" s="232"/>
      <c r="T105" s="232"/>
      <c r="U105" s="71"/>
      <c r="V105" s="71"/>
    </row>
    <row r="106" spans="1:29" ht="16">
      <c r="A106" s="174"/>
      <c r="B106" s="178"/>
      <c r="C106" s="178"/>
      <c r="D106" s="174"/>
      <c r="E106" s="174"/>
      <c r="F106" s="174"/>
      <c r="G106" s="222"/>
      <c r="H106" s="222"/>
      <c r="I106" s="224" t="s">
        <v>2075</v>
      </c>
      <c r="J106" s="250">
        <v>560000</v>
      </c>
      <c r="K106" s="181"/>
      <c r="L106" s="181"/>
      <c r="M106" s="181"/>
      <c r="N106" s="222"/>
      <c r="O106" s="222"/>
      <c r="P106" s="181"/>
      <c r="Q106" s="232"/>
      <c r="R106" s="232"/>
      <c r="S106" s="232"/>
      <c r="T106" s="232"/>
      <c r="U106" s="71"/>
      <c r="V106" s="232"/>
    </row>
    <row r="107" spans="1:29" ht="16">
      <c r="A107" s="174"/>
      <c r="B107" s="174"/>
      <c r="C107" s="174"/>
      <c r="G107" s="174"/>
      <c r="H107" s="174"/>
      <c r="I107" s="224" t="s">
        <v>2130</v>
      </c>
      <c r="J107" s="250">
        <v>6000000</v>
      </c>
      <c r="K107" s="181"/>
      <c r="L107" s="181"/>
      <c r="M107" s="181"/>
      <c r="N107" s="174"/>
      <c r="O107" s="174"/>
      <c r="P107" s="174"/>
      <c r="Q107" s="232"/>
      <c r="R107" s="232"/>
      <c r="S107" s="232"/>
      <c r="T107" s="232"/>
      <c r="U107" s="232"/>
      <c r="V107" s="232"/>
    </row>
    <row r="108" spans="1:29" ht="16">
      <c r="A108" s="174"/>
      <c r="B108" s="174"/>
      <c r="C108" s="174"/>
      <c r="G108" s="174"/>
      <c r="H108" s="174"/>
      <c r="I108" s="224" t="s">
        <v>2131</v>
      </c>
      <c r="J108" s="250">
        <f>J105-J106-J107</f>
        <v>7240000</v>
      </c>
      <c r="K108" s="181"/>
      <c r="L108" s="181"/>
      <c r="M108" s="181"/>
      <c r="N108" s="174"/>
      <c r="O108" s="174"/>
      <c r="P108" s="174"/>
      <c r="Q108" s="232"/>
      <c r="R108" s="232"/>
      <c r="S108" s="232"/>
      <c r="T108" s="232"/>
      <c r="U108" s="232"/>
      <c r="V108" s="232"/>
    </row>
    <row r="109" spans="1:29" ht="16">
      <c r="A109" s="174"/>
      <c r="B109" s="174"/>
      <c r="C109" s="174"/>
      <c r="D109" s="174"/>
      <c r="E109" s="174"/>
      <c r="F109" s="174"/>
      <c r="G109" s="174"/>
      <c r="H109" s="174"/>
      <c r="I109" s="263"/>
      <c r="J109" s="253"/>
      <c r="K109" s="181"/>
      <c r="L109" s="181"/>
      <c r="M109" s="181"/>
      <c r="N109" s="174"/>
      <c r="O109" s="174"/>
      <c r="P109" s="174"/>
      <c r="Q109" s="232"/>
      <c r="R109" s="232"/>
      <c r="S109" s="232"/>
      <c r="T109" s="232"/>
      <c r="U109" s="232"/>
      <c r="V109" s="232"/>
    </row>
    <row r="110" spans="1:29" ht="16">
      <c r="A110" s="174"/>
      <c r="B110" s="174"/>
      <c r="C110" s="174"/>
      <c r="D110" s="174"/>
      <c r="E110" s="174"/>
      <c r="F110" s="174"/>
      <c r="G110" s="174"/>
      <c r="H110" s="174"/>
      <c r="I110" s="263"/>
      <c r="J110" s="253"/>
      <c r="K110" s="181"/>
      <c r="L110" s="181"/>
      <c r="M110" s="181"/>
      <c r="N110" s="174"/>
      <c r="O110" s="174"/>
      <c r="P110" s="174"/>
      <c r="Q110" s="232"/>
      <c r="R110" s="232"/>
      <c r="S110" s="232"/>
      <c r="T110" s="232"/>
      <c r="U110" s="232"/>
      <c r="V110" s="232"/>
    </row>
    <row r="111" spans="1:29" ht="16">
      <c r="A111" s="174"/>
      <c r="B111" s="174"/>
      <c r="C111" s="174"/>
      <c r="D111" s="174"/>
      <c r="E111" s="174"/>
      <c r="F111" s="174"/>
      <c r="G111" s="174"/>
      <c r="H111" s="174"/>
      <c r="I111" s="263"/>
      <c r="J111" s="253"/>
      <c r="K111" s="181"/>
      <c r="L111" s="181"/>
      <c r="M111" s="181"/>
      <c r="N111" s="174"/>
      <c r="O111" s="174"/>
      <c r="P111" s="174"/>
      <c r="Q111" s="232"/>
      <c r="R111" s="232"/>
      <c r="S111" s="232"/>
      <c r="T111" s="232"/>
      <c r="U111" s="232"/>
      <c r="V111" s="232"/>
    </row>
    <row r="112" spans="1:29" ht="16">
      <c r="A112" s="174"/>
      <c r="B112" s="174"/>
      <c r="C112" s="174"/>
      <c r="D112" s="174"/>
      <c r="E112" s="174"/>
      <c r="F112" s="174"/>
      <c r="G112" s="174"/>
      <c r="H112" s="174"/>
      <c r="I112" s="263"/>
      <c r="J112" s="253"/>
      <c r="K112" s="181"/>
      <c r="L112" s="181"/>
      <c r="M112" s="181"/>
      <c r="N112" s="174"/>
      <c r="O112" s="174"/>
      <c r="P112" s="174"/>
      <c r="Q112" s="232"/>
      <c r="R112" s="232"/>
      <c r="S112" s="232"/>
      <c r="T112" s="232"/>
      <c r="U112" s="232" t="s">
        <v>2118</v>
      </c>
      <c r="V112" s="251">
        <f>SUM(T102:T110)</f>
        <v>0</v>
      </c>
    </row>
    <row r="113" spans="1:22" ht="16">
      <c r="A113" s="174"/>
      <c r="B113" s="174"/>
      <c r="C113" s="174"/>
      <c r="D113" s="174"/>
      <c r="E113" s="174"/>
      <c r="F113" s="174"/>
      <c r="G113" s="174"/>
      <c r="H113" s="174"/>
      <c r="I113" s="263"/>
      <c r="J113" s="253"/>
      <c r="K113" s="181"/>
      <c r="L113" s="181"/>
      <c r="M113" s="181"/>
      <c r="N113" s="174"/>
      <c r="O113" s="174"/>
      <c r="P113" s="174"/>
      <c r="Q113" s="232"/>
      <c r="R113" s="232"/>
      <c r="S113" s="232"/>
      <c r="T113" s="232"/>
      <c r="U113" s="232"/>
      <c r="V113" s="232"/>
    </row>
    <row r="114" spans="1:22" ht="16">
      <c r="A114" s="174"/>
      <c r="B114" s="174"/>
      <c r="C114" s="174"/>
      <c r="D114" s="174"/>
      <c r="E114" s="174"/>
      <c r="F114" s="174"/>
      <c r="G114" s="174"/>
      <c r="H114" s="174"/>
      <c r="I114" s="263"/>
      <c r="J114" s="253"/>
      <c r="K114" s="181"/>
      <c r="L114" s="181"/>
      <c r="M114" s="181"/>
      <c r="N114" s="174"/>
      <c r="O114" s="174"/>
      <c r="P114" s="174"/>
    </row>
    <row r="115" spans="1:22" ht="16">
      <c r="A115" s="233"/>
      <c r="B115" s="233"/>
      <c r="C115" s="233"/>
      <c r="D115" s="233"/>
      <c r="E115" s="233"/>
      <c r="F115" s="233"/>
      <c r="G115" s="233"/>
      <c r="H115" s="233"/>
      <c r="I115" s="263"/>
      <c r="J115" s="253"/>
      <c r="K115" s="181"/>
      <c r="L115" s="181"/>
      <c r="M115" s="181"/>
      <c r="N115" s="233"/>
      <c r="O115" s="233"/>
      <c r="P115" s="233"/>
    </row>
    <row r="116" spans="1:22" ht="16">
      <c r="I116" s="263"/>
      <c r="J116" s="253"/>
      <c r="K116" s="181"/>
      <c r="L116" s="181"/>
      <c r="M116" s="181"/>
    </row>
  </sheetData>
  <autoFilter ref="A5:Q100" xr:uid="{00000000-0009-0000-0000-000004000000}"/>
  <mergeCells count="13">
    <mergeCell ref="I116:J116"/>
    <mergeCell ref="D1:P1"/>
    <mergeCell ref="D2:P2"/>
    <mergeCell ref="G3:J3"/>
    <mergeCell ref="K3:M3"/>
    <mergeCell ref="D100:F100"/>
    <mergeCell ref="I109:J109"/>
    <mergeCell ref="I110:J110"/>
    <mergeCell ref="I111:J111"/>
    <mergeCell ref="I112:J112"/>
    <mergeCell ref="I113:J113"/>
    <mergeCell ref="I114:J114"/>
    <mergeCell ref="I115:J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xe</vt:lpstr>
      <vt:lpstr>ma</vt:lpstr>
      <vt:lpstr>XE NHỎ</vt:lpstr>
      <vt:lpstr>XE LỚN</vt:lpstr>
      <vt:lpstr>TRUNG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2026-06-20T21:23:38Z</dcterms:modified>
</cp:coreProperties>
</file>